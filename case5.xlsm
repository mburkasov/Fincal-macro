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1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a0c34b8a67bd831/REA/FinCal/case 5/"/>
    </mc:Choice>
  </mc:AlternateContent>
  <xr:revisionPtr revIDLastSave="17285" documentId="14_{AA9A125D-2E88-472F-8F5F-79FECEB3F724}" xr6:coauthVersionLast="45" xr6:coauthVersionMax="45" xr10:uidLastSave="{BB678A0E-61B1-4532-AA90-626D16B06662}"/>
  <bookViews>
    <workbookView xWindow="38280" yWindow="-120" windowWidth="29040" windowHeight="15840" xr2:uid="{00000000-000D-0000-FFFF-FFFF00000000}"/>
  </bookViews>
  <sheets>
    <sheet name="1" sheetId="2" r:id="rId1"/>
    <sheet name="Sheet1" sheetId="3" state="hidden" r:id="rId2"/>
  </sheets>
  <definedNames>
    <definedName name="d">'1'!$C$14</definedName>
    <definedName name="ds">'1'!$F$3</definedName>
    <definedName name="dt">'1'!$C$13</definedName>
    <definedName name="K">'1'!$C$8</definedName>
    <definedName name="p">'1'!$C$15</definedName>
    <definedName name="q">'1'!$C$18</definedName>
    <definedName name="rf">'1'!$C$9</definedName>
    <definedName name="S">'1'!$C$7</definedName>
    <definedName name="sigma">'1'!$C$10</definedName>
    <definedName name="solver_adj" localSheetId="0" hidden="1">'1'!$DI$107:$DI$192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'1'!$DH$107:$DH$192</definedName>
    <definedName name="solver_lhs2" localSheetId="0" hidden="1">'1'!$F$5</definedName>
    <definedName name="solver_lhs3" localSheetId="0" hidden="1">'1'!$F$5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'1'!$DH$142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el2" localSheetId="0" hidden="1">1</definedName>
    <definedName name="solver_rel3" localSheetId="0" hidden="1">3</definedName>
    <definedName name="solver_rhs1" localSheetId="0" hidden="1">0</definedName>
    <definedName name="solver_rhs2" localSheetId="0" hidden="1">100</definedName>
    <definedName name="solver_rhs3" localSheetId="0" hidden="1">50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  <definedName name="T">'1'!$C$12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5" i="2" l="1"/>
  <c r="C14" i="2"/>
  <c r="C17" i="2"/>
  <c r="DH105" i="2" l="1" a="1"/>
  <c r="DH105" i="2" s="1"/>
  <c r="BF104" i="2"/>
  <c r="BG104" i="2" s="1"/>
  <c r="BH104" i="2" s="1"/>
  <c r="BI104" i="2" s="1"/>
  <c r="BJ104" i="2" s="1"/>
  <c r="BK104" i="2" s="1"/>
  <c r="BL104" i="2" s="1"/>
  <c r="BM104" i="2" s="1"/>
  <c r="BN104" i="2" s="1"/>
  <c r="BO104" i="2" s="1"/>
  <c r="BP104" i="2" s="1"/>
  <c r="BQ104" i="2" s="1"/>
  <c r="BR104" i="2" s="1"/>
  <c r="BS104" i="2" s="1"/>
  <c r="BT104" i="2" s="1"/>
  <c r="BU104" i="2" s="1"/>
  <c r="BV104" i="2" s="1"/>
  <c r="BW104" i="2" s="1"/>
  <c r="BX104" i="2" s="1"/>
  <c r="BY104" i="2" s="1"/>
  <c r="BZ104" i="2" s="1"/>
  <c r="CA104" i="2" s="1"/>
  <c r="CB104" i="2" s="1"/>
  <c r="CC104" i="2" s="1"/>
  <c r="CD104" i="2" s="1"/>
  <c r="CE104" i="2" s="1"/>
  <c r="CF104" i="2" s="1"/>
  <c r="CG104" i="2" s="1"/>
  <c r="CH104" i="2" s="1"/>
  <c r="CI104" i="2" s="1"/>
  <c r="CJ104" i="2" s="1"/>
  <c r="CK104" i="2" s="1"/>
  <c r="CL104" i="2" s="1"/>
  <c r="CM104" i="2" s="1"/>
  <c r="CN104" i="2" s="1"/>
  <c r="CO104" i="2" s="1"/>
  <c r="CP104" i="2" s="1"/>
  <c r="CQ104" i="2" s="1"/>
  <c r="CR104" i="2" s="1"/>
  <c r="CS104" i="2" s="1"/>
  <c r="CT104" i="2" s="1"/>
  <c r="CU104" i="2" s="1"/>
  <c r="CV104" i="2" s="1"/>
  <c r="CW104" i="2" s="1"/>
  <c r="CX104" i="2" s="1"/>
  <c r="CY104" i="2" s="1"/>
  <c r="CZ104" i="2" s="1"/>
  <c r="DA104" i="2" s="1"/>
  <c r="DB104" i="2" s="1"/>
  <c r="DC104" i="2" s="1"/>
  <c r="D154" i="2" l="1"/>
  <c r="D52" i="2"/>
  <c r="F3" i="2" l="1"/>
  <c r="BF2" i="2"/>
  <c r="BG2" i="2" s="1"/>
  <c r="BH2" i="2" s="1"/>
  <c r="BI2" i="2" s="1"/>
  <c r="BJ2" i="2" s="1"/>
  <c r="BK2" i="2" s="1"/>
  <c r="BL2" i="2" s="1"/>
  <c r="BM2" i="2" s="1"/>
  <c r="BN2" i="2" s="1"/>
  <c r="BO2" i="2" s="1"/>
  <c r="BP2" i="2" s="1"/>
  <c r="BQ2" i="2" s="1"/>
  <c r="BR2" i="2" s="1"/>
  <c r="BS2" i="2" s="1"/>
  <c r="BT2" i="2" s="1"/>
  <c r="BU2" i="2" s="1"/>
  <c r="BV2" i="2" s="1"/>
  <c r="BW2" i="2" s="1"/>
  <c r="BX2" i="2" s="1"/>
  <c r="BY2" i="2" s="1"/>
  <c r="BZ2" i="2" s="1"/>
  <c r="CA2" i="2" s="1"/>
  <c r="CB2" i="2" s="1"/>
  <c r="CC2" i="2" s="1"/>
  <c r="CD2" i="2" s="1"/>
  <c r="CE2" i="2" s="1"/>
  <c r="CF2" i="2" s="1"/>
  <c r="CG2" i="2" s="1"/>
  <c r="CH2" i="2" s="1"/>
  <c r="CI2" i="2" s="1"/>
  <c r="CJ2" i="2" s="1"/>
  <c r="CK2" i="2" s="1"/>
  <c r="CL2" i="2" s="1"/>
  <c r="CM2" i="2" s="1"/>
  <c r="CN2" i="2" s="1"/>
  <c r="CO2" i="2" s="1"/>
  <c r="CP2" i="2" s="1"/>
  <c r="CQ2" i="2" s="1"/>
  <c r="CR2" i="2" s="1"/>
  <c r="CS2" i="2" s="1"/>
  <c r="CT2" i="2" s="1"/>
  <c r="CU2" i="2" s="1"/>
  <c r="CV2" i="2" s="1"/>
  <c r="CW2" i="2" s="1"/>
  <c r="CX2" i="2" s="1"/>
  <c r="CY2" i="2" s="1"/>
  <c r="CZ2" i="2" s="1"/>
  <c r="DA2" i="2" s="1"/>
  <c r="DB2" i="2" s="1"/>
  <c r="DC2" i="2" s="1"/>
  <c r="C12" i="2" l="1"/>
  <c r="F9" i="2" s="1"/>
  <c r="F10" i="2" l="1"/>
  <c r="F11" i="2" s="1"/>
  <c r="C13" i="2"/>
  <c r="BF3" i="2" l="1"/>
  <c r="BG3" i="2" s="1"/>
  <c r="BH3" i="2" s="1"/>
  <c r="BI3" i="2" s="1"/>
  <c r="BJ3" i="2" s="1"/>
  <c r="BK3" i="2" s="1"/>
  <c r="BL3" i="2" s="1"/>
  <c r="BM3" i="2" s="1"/>
  <c r="BN3" i="2" s="1"/>
  <c r="BO3" i="2" s="1"/>
  <c r="BP3" i="2" s="1"/>
  <c r="BQ3" i="2" s="1"/>
  <c r="BR3" i="2" s="1"/>
  <c r="BS3" i="2" s="1"/>
  <c r="BT3" i="2" s="1"/>
  <c r="BU3" i="2" s="1"/>
  <c r="BV3" i="2" s="1"/>
  <c r="BW3" i="2" s="1"/>
  <c r="BX3" i="2" s="1"/>
  <c r="BY3" i="2" s="1"/>
  <c r="BZ3" i="2" s="1"/>
  <c r="CA3" i="2" s="1"/>
  <c r="CB3" i="2" s="1"/>
  <c r="CC3" i="2" s="1"/>
  <c r="CD3" i="2" s="1"/>
  <c r="CE3" i="2" s="1"/>
  <c r="CF3" i="2" s="1"/>
  <c r="CG3" i="2" s="1"/>
  <c r="CH3" i="2" s="1"/>
  <c r="CI3" i="2" s="1"/>
  <c r="CJ3" i="2" s="1"/>
  <c r="CK3" i="2" s="1"/>
  <c r="CL3" i="2" s="1"/>
  <c r="CM3" i="2" s="1"/>
  <c r="CN3" i="2" s="1"/>
  <c r="CO3" i="2" s="1"/>
  <c r="CP3" i="2" s="1"/>
  <c r="CQ3" i="2" s="1"/>
  <c r="CR3" i="2" s="1"/>
  <c r="CS3" i="2" s="1"/>
  <c r="CT3" i="2" s="1"/>
  <c r="CU3" i="2" s="1"/>
  <c r="CV3" i="2" s="1"/>
  <c r="CW3" i="2" s="1"/>
  <c r="CX3" i="2" s="1"/>
  <c r="CY3" i="2" s="1"/>
  <c r="CZ3" i="2" s="1"/>
  <c r="DA3" i="2" s="1"/>
  <c r="DB3" i="2" s="1"/>
  <c r="DC3" i="2" s="1"/>
  <c r="BF105" i="2"/>
  <c r="BG105" i="2" s="1"/>
  <c r="BH105" i="2" s="1"/>
  <c r="BI105" i="2" s="1"/>
  <c r="BJ105" i="2" s="1"/>
  <c r="BK105" i="2" s="1"/>
  <c r="BL105" i="2" s="1"/>
  <c r="BM105" i="2" s="1"/>
  <c r="BN105" i="2" s="1"/>
  <c r="BO105" i="2" s="1"/>
  <c r="BP105" i="2" s="1"/>
  <c r="BQ105" i="2" s="1"/>
  <c r="BR105" i="2" s="1"/>
  <c r="BS105" i="2" s="1"/>
  <c r="BT105" i="2" s="1"/>
  <c r="BU105" i="2" s="1"/>
  <c r="BV105" i="2" s="1"/>
  <c r="BW105" i="2" s="1"/>
  <c r="BX105" i="2" s="1"/>
  <c r="BY105" i="2" s="1"/>
  <c r="BZ105" i="2" s="1"/>
  <c r="CA105" i="2" s="1"/>
  <c r="CB105" i="2" s="1"/>
  <c r="CC105" i="2" s="1"/>
  <c r="CD105" i="2" s="1"/>
  <c r="CE105" i="2" s="1"/>
  <c r="CF105" i="2" s="1"/>
  <c r="CG105" i="2" s="1"/>
  <c r="CH105" i="2" s="1"/>
  <c r="CI105" i="2" s="1"/>
  <c r="CJ105" i="2" s="1"/>
  <c r="CK105" i="2" s="1"/>
  <c r="CL105" i="2" s="1"/>
  <c r="CM105" i="2" s="1"/>
  <c r="CN105" i="2" s="1"/>
  <c r="CO105" i="2" s="1"/>
  <c r="CP105" i="2" s="1"/>
  <c r="CQ105" i="2" s="1"/>
  <c r="CR105" i="2" s="1"/>
  <c r="CS105" i="2" s="1"/>
  <c r="CT105" i="2" s="1"/>
  <c r="CU105" i="2" s="1"/>
  <c r="CV105" i="2" s="1"/>
  <c r="CW105" i="2" s="1"/>
  <c r="CX105" i="2" s="1"/>
  <c r="CY105" i="2" s="1"/>
  <c r="CZ105" i="2" s="1"/>
  <c r="DA105" i="2" s="1"/>
  <c r="DB105" i="2" s="1"/>
  <c r="DC105" i="2" s="1"/>
  <c r="E155" i="2"/>
  <c r="E53" i="2"/>
  <c r="E153" i="2"/>
  <c r="F152" i="2" s="1"/>
  <c r="G151" i="2" s="1"/>
  <c r="H150" i="2" s="1"/>
  <c r="I149" i="2" s="1"/>
  <c r="J148" i="2" s="1"/>
  <c r="K147" i="2" s="1"/>
  <c r="L146" i="2" s="1"/>
  <c r="M145" i="2" s="1"/>
  <c r="N144" i="2" s="1"/>
  <c r="O143" i="2" s="1"/>
  <c r="P142" i="2" s="1"/>
  <c r="Q141" i="2" s="1"/>
  <c r="R140" i="2" s="1"/>
  <c r="S139" i="2" s="1"/>
  <c r="T138" i="2" s="1"/>
  <c r="U137" i="2" s="1"/>
  <c r="V136" i="2" s="1"/>
  <c r="W135" i="2" s="1"/>
  <c r="X134" i="2" s="1"/>
  <c r="Y133" i="2" s="1"/>
  <c r="Z132" i="2" s="1"/>
  <c r="AA131" i="2" s="1"/>
  <c r="AB130" i="2" s="1"/>
  <c r="AC129" i="2" s="1"/>
  <c r="AD128" i="2" s="1"/>
  <c r="AE127" i="2" s="1"/>
  <c r="AF126" i="2" s="1"/>
  <c r="AG125" i="2" s="1"/>
  <c r="AH124" i="2" s="1"/>
  <c r="AI123" i="2" s="1"/>
  <c r="AJ122" i="2" s="1"/>
  <c r="AK121" i="2" s="1"/>
  <c r="AL120" i="2" s="1"/>
  <c r="AM119" i="2" s="1"/>
  <c r="AN118" i="2" s="1"/>
  <c r="AO117" i="2" s="1"/>
  <c r="AP116" i="2" s="1"/>
  <c r="AQ115" i="2" s="1"/>
  <c r="AR114" i="2" s="1"/>
  <c r="AS113" i="2" s="1"/>
  <c r="AT112" i="2" s="1"/>
  <c r="AU111" i="2" s="1"/>
  <c r="AV110" i="2" s="1"/>
  <c r="AW109" i="2" s="1"/>
  <c r="AX108" i="2" s="1"/>
  <c r="AY107" i="2" s="1"/>
  <c r="AZ106" i="2" s="1"/>
  <c r="BA105" i="2" s="1"/>
  <c r="BB104" i="2" s="1"/>
  <c r="BB105" i="2" s="1"/>
  <c r="E51" i="2"/>
  <c r="F50" i="2" s="1"/>
  <c r="G49" i="2" s="1"/>
  <c r="H48" i="2" s="1"/>
  <c r="I47" i="2" s="1"/>
  <c r="J46" i="2" s="1"/>
  <c r="K45" i="2" s="1"/>
  <c r="L44" i="2" s="1"/>
  <c r="M43" i="2" s="1"/>
  <c r="N42" i="2" s="1"/>
  <c r="O41" i="2" s="1"/>
  <c r="P40" i="2" s="1"/>
  <c r="Q39" i="2" s="1"/>
  <c r="R38" i="2" s="1"/>
  <c r="S37" i="2" s="1"/>
  <c r="T36" i="2" s="1"/>
  <c r="U35" i="2" s="1"/>
  <c r="V34" i="2" s="1"/>
  <c r="W33" i="2" s="1"/>
  <c r="X32" i="2" s="1"/>
  <c r="Y31" i="2" s="1"/>
  <c r="Z30" i="2" s="1"/>
  <c r="AA29" i="2" s="1"/>
  <c r="AB28" i="2" s="1"/>
  <c r="AC27" i="2" s="1"/>
  <c r="AD26" i="2" s="1"/>
  <c r="AE25" i="2" s="1"/>
  <c r="AF24" i="2" l="1"/>
  <c r="AG23" i="2" s="1"/>
  <c r="AH22" i="2" s="1"/>
  <c r="AI21" i="2" s="1"/>
  <c r="AJ20" i="2" s="1"/>
  <c r="AK19" i="2" s="1"/>
  <c r="AL18" i="2" s="1"/>
  <c r="AM17" i="2" s="1"/>
  <c r="AN16" i="2" s="1"/>
  <c r="AO15" i="2" s="1"/>
  <c r="AP14" i="2" s="1"/>
  <c r="AQ13" i="2" s="1"/>
  <c r="AR12" i="2" s="1"/>
  <c r="AS11" i="2" s="1"/>
  <c r="AT10" i="2" s="1"/>
  <c r="AU9" i="2" s="1"/>
  <c r="AV8" i="2" s="1"/>
  <c r="AW7" i="2" s="1"/>
  <c r="AX6" i="2" s="1"/>
  <c r="AY5" i="2" s="1"/>
  <c r="AZ4" i="2" s="1"/>
  <c r="BA3" i="2" s="1"/>
  <c r="BB2" i="2" s="1"/>
  <c r="BB3" i="2" s="1"/>
  <c r="F4" i="2"/>
  <c r="F5" i="2" s="1"/>
  <c r="F52" i="2"/>
  <c r="G51" i="2" s="1"/>
  <c r="H50" i="2" s="1"/>
  <c r="I49" i="2" s="1"/>
  <c r="J48" i="2" s="1"/>
  <c r="K47" i="2" s="1"/>
  <c r="L46" i="2" s="1"/>
  <c r="M45" i="2" s="1"/>
  <c r="N44" i="2" s="1"/>
  <c r="O43" i="2" s="1"/>
  <c r="P42" i="2" s="1"/>
  <c r="Q41" i="2" s="1"/>
  <c r="R40" i="2" s="1"/>
  <c r="S39" i="2" s="1"/>
  <c r="T38" i="2" s="1"/>
  <c r="U37" i="2" s="1"/>
  <c r="V36" i="2" s="1"/>
  <c r="W35" i="2" s="1"/>
  <c r="X34" i="2" s="1"/>
  <c r="Y33" i="2" s="1"/>
  <c r="Z32" i="2" s="1"/>
  <c r="AA31" i="2" s="1"/>
  <c r="AB30" i="2" s="1"/>
  <c r="AC29" i="2" s="1"/>
  <c r="AD28" i="2" s="1"/>
  <c r="AE27" i="2" s="1"/>
  <c r="AF26" i="2" s="1"/>
  <c r="AG25" i="2" s="1"/>
  <c r="AH24" i="2" s="1"/>
  <c r="AI23" i="2" s="1"/>
  <c r="AJ22" i="2" s="1"/>
  <c r="AK21" i="2" s="1"/>
  <c r="AL20" i="2" s="1"/>
  <c r="AM19" i="2" s="1"/>
  <c r="AN18" i="2" s="1"/>
  <c r="AO17" i="2" s="1"/>
  <c r="AP16" i="2" s="1"/>
  <c r="AQ15" i="2" s="1"/>
  <c r="AR14" i="2" s="1"/>
  <c r="AS13" i="2" s="1"/>
  <c r="AT12" i="2" s="1"/>
  <c r="AU11" i="2" s="1"/>
  <c r="AV10" i="2" s="1"/>
  <c r="AW9" i="2" s="1"/>
  <c r="AX8" i="2" s="1"/>
  <c r="AY7" i="2" s="1"/>
  <c r="AZ6" i="2" s="1"/>
  <c r="BA5" i="2" s="1"/>
  <c r="BB4" i="2" s="1"/>
  <c r="BB5" i="2" s="1"/>
  <c r="F54" i="2"/>
  <c r="F156" i="2"/>
  <c r="F154" i="2"/>
  <c r="G153" i="2" s="1"/>
  <c r="H152" i="2" s="1"/>
  <c r="I151" i="2" s="1"/>
  <c r="J150" i="2" s="1"/>
  <c r="K149" i="2" s="1"/>
  <c r="L148" i="2" s="1"/>
  <c r="M147" i="2" s="1"/>
  <c r="N146" i="2" s="1"/>
  <c r="O145" i="2" s="1"/>
  <c r="P144" i="2" s="1"/>
  <c r="Q143" i="2" s="1"/>
  <c r="R142" i="2" s="1"/>
  <c r="S141" i="2" s="1"/>
  <c r="T140" i="2" s="1"/>
  <c r="U139" i="2" s="1"/>
  <c r="V138" i="2" s="1"/>
  <c r="W137" i="2" s="1"/>
  <c r="X136" i="2" s="1"/>
  <c r="Y135" i="2" s="1"/>
  <c r="Z134" i="2" s="1"/>
  <c r="AA133" i="2" s="1"/>
  <c r="AB132" i="2" s="1"/>
  <c r="AC131" i="2" s="1"/>
  <c r="AD130" i="2" s="1"/>
  <c r="AE129" i="2" s="1"/>
  <c r="AF128" i="2" s="1"/>
  <c r="AG127" i="2" s="1"/>
  <c r="AH126" i="2" s="1"/>
  <c r="AI125" i="2" s="1"/>
  <c r="AJ124" i="2" s="1"/>
  <c r="AK123" i="2" s="1"/>
  <c r="AL122" i="2" s="1"/>
  <c r="AM121" i="2" s="1"/>
  <c r="AN120" i="2" s="1"/>
  <c r="AO119" i="2" s="1"/>
  <c r="AP118" i="2" s="1"/>
  <c r="AQ117" i="2" s="1"/>
  <c r="AR116" i="2" s="1"/>
  <c r="AS115" i="2" s="1"/>
  <c r="AT114" i="2" s="1"/>
  <c r="AU113" i="2" s="1"/>
  <c r="AV112" i="2" s="1"/>
  <c r="AW111" i="2" s="1"/>
  <c r="AX110" i="2" s="1"/>
  <c r="AY109" i="2" s="1"/>
  <c r="AZ108" i="2" s="1"/>
  <c r="BA107" i="2" s="1"/>
  <c r="BB106" i="2" s="1"/>
  <c r="BB107" i="2" s="1"/>
  <c r="G55" i="2" l="1"/>
  <c r="G53" i="2"/>
  <c r="H52" i="2" s="1"/>
  <c r="I51" i="2" s="1"/>
  <c r="J50" i="2" s="1"/>
  <c r="K49" i="2" s="1"/>
  <c r="L48" i="2" s="1"/>
  <c r="M47" i="2" s="1"/>
  <c r="N46" i="2" s="1"/>
  <c r="O45" i="2" s="1"/>
  <c r="P44" i="2" s="1"/>
  <c r="Q43" i="2" s="1"/>
  <c r="R42" i="2" s="1"/>
  <c r="S41" i="2" s="1"/>
  <c r="T40" i="2" s="1"/>
  <c r="U39" i="2" s="1"/>
  <c r="V38" i="2" s="1"/>
  <c r="W37" i="2" s="1"/>
  <c r="X36" i="2" s="1"/>
  <c r="Y35" i="2" s="1"/>
  <c r="Z34" i="2" s="1"/>
  <c r="AA33" i="2" s="1"/>
  <c r="AB32" i="2" s="1"/>
  <c r="AC31" i="2" s="1"/>
  <c r="AD30" i="2" s="1"/>
  <c r="AE29" i="2" s="1"/>
  <c r="AF28" i="2" s="1"/>
  <c r="AG27" i="2" s="1"/>
  <c r="AH26" i="2" s="1"/>
  <c r="AI25" i="2" s="1"/>
  <c r="AJ24" i="2" s="1"/>
  <c r="AK23" i="2" s="1"/>
  <c r="AL22" i="2" s="1"/>
  <c r="AM21" i="2" s="1"/>
  <c r="AN20" i="2" s="1"/>
  <c r="AO19" i="2" s="1"/>
  <c r="AP18" i="2" s="1"/>
  <c r="AQ17" i="2" s="1"/>
  <c r="AR16" i="2" s="1"/>
  <c r="AS15" i="2" s="1"/>
  <c r="AT14" i="2" s="1"/>
  <c r="AU13" i="2" s="1"/>
  <c r="AV12" i="2" s="1"/>
  <c r="AW11" i="2" s="1"/>
  <c r="AX10" i="2" s="1"/>
  <c r="AY9" i="2" s="1"/>
  <c r="AZ8" i="2" s="1"/>
  <c r="BA7" i="2" s="1"/>
  <c r="BB6" i="2" s="1"/>
  <c r="BB7" i="2" s="1"/>
  <c r="BA6" i="2" s="1"/>
  <c r="G155" i="2"/>
  <c r="H154" i="2" s="1"/>
  <c r="I153" i="2" s="1"/>
  <c r="J152" i="2" s="1"/>
  <c r="K151" i="2" s="1"/>
  <c r="L150" i="2" s="1"/>
  <c r="M149" i="2" s="1"/>
  <c r="N148" i="2" s="1"/>
  <c r="O147" i="2" s="1"/>
  <c r="P146" i="2" s="1"/>
  <c r="Q145" i="2" s="1"/>
  <c r="R144" i="2" s="1"/>
  <c r="S143" i="2" s="1"/>
  <c r="T142" i="2" s="1"/>
  <c r="U141" i="2" s="1"/>
  <c r="V140" i="2" s="1"/>
  <c r="W139" i="2" s="1"/>
  <c r="X138" i="2" s="1"/>
  <c r="Y137" i="2" s="1"/>
  <c r="Z136" i="2" s="1"/>
  <c r="AA135" i="2" s="1"/>
  <c r="AB134" i="2" s="1"/>
  <c r="AC133" i="2" s="1"/>
  <c r="AD132" i="2" s="1"/>
  <c r="AE131" i="2" s="1"/>
  <c r="AF130" i="2" s="1"/>
  <c r="AG129" i="2" s="1"/>
  <c r="AH128" i="2" s="1"/>
  <c r="AI127" i="2" s="1"/>
  <c r="AJ126" i="2" s="1"/>
  <c r="AK125" i="2" s="1"/>
  <c r="AL124" i="2" s="1"/>
  <c r="AM123" i="2" s="1"/>
  <c r="AN122" i="2" s="1"/>
  <c r="AO121" i="2" s="1"/>
  <c r="AP120" i="2" s="1"/>
  <c r="AQ119" i="2" s="1"/>
  <c r="AR118" i="2" s="1"/>
  <c r="AS117" i="2" s="1"/>
  <c r="AT116" i="2" s="1"/>
  <c r="AU115" i="2" s="1"/>
  <c r="AV114" i="2" s="1"/>
  <c r="AW113" i="2" s="1"/>
  <c r="AX112" i="2" s="1"/>
  <c r="AY111" i="2" s="1"/>
  <c r="AZ110" i="2" s="1"/>
  <c r="BA109" i="2" s="1"/>
  <c r="BB108" i="2" s="1"/>
  <c r="BB109" i="2" s="1"/>
  <c r="G157" i="2"/>
  <c r="BA106" i="2"/>
  <c r="BA4" i="2"/>
  <c r="F6" i="2" l="1"/>
  <c r="BD4" i="2" s="1"/>
  <c r="BD5" i="2" s="1"/>
  <c r="BD6" i="2" s="1"/>
  <c r="BD7" i="2" s="1"/>
  <c r="BD8" i="2" s="1"/>
  <c r="BD9" i="2" s="1"/>
  <c r="BD10" i="2" s="1"/>
  <c r="BD11" i="2" s="1"/>
  <c r="BD12" i="2" s="1"/>
  <c r="BD13" i="2" s="1"/>
  <c r="BD14" i="2" s="1"/>
  <c r="BD15" i="2" s="1"/>
  <c r="BD16" i="2" s="1"/>
  <c r="BD17" i="2" s="1"/>
  <c r="BD18" i="2" s="1"/>
  <c r="BD19" i="2" s="1"/>
  <c r="BD20" i="2" s="1"/>
  <c r="BD21" i="2" s="1"/>
  <c r="BD22" i="2" s="1"/>
  <c r="BD23" i="2" s="1"/>
  <c r="BD24" i="2" s="1"/>
  <c r="BD25" i="2" s="1"/>
  <c r="BD26" i="2" s="1"/>
  <c r="BD27" i="2" s="1"/>
  <c r="BD28" i="2" s="1"/>
  <c r="BD29" i="2" s="1"/>
  <c r="BD30" i="2" s="1"/>
  <c r="BD31" i="2" s="1"/>
  <c r="BD32" i="2" s="1"/>
  <c r="BD33" i="2" s="1"/>
  <c r="BD34" i="2" s="1"/>
  <c r="BD35" i="2" s="1"/>
  <c r="BD36" i="2" s="1"/>
  <c r="BD37" i="2" s="1"/>
  <c r="BD38" i="2" s="1"/>
  <c r="BD39" i="2" s="1"/>
  <c r="BD40" i="2" s="1"/>
  <c r="BD41" i="2" s="1"/>
  <c r="BD42" i="2" s="1"/>
  <c r="BD43" i="2" s="1"/>
  <c r="BD44" i="2" s="1"/>
  <c r="BD45" i="2" s="1"/>
  <c r="BD46" i="2" s="1"/>
  <c r="BD47" i="2" s="1"/>
  <c r="BD48" i="2" s="1"/>
  <c r="BD49" i="2" s="1"/>
  <c r="BD50" i="2" s="1"/>
  <c r="BD51" i="2" s="1"/>
  <c r="BD52" i="2" s="1"/>
  <c r="BD53" i="2" s="1"/>
  <c r="BD54" i="2" s="1"/>
  <c r="BD55" i="2" s="1"/>
  <c r="BD56" i="2" s="1"/>
  <c r="BD57" i="2" s="1"/>
  <c r="BD58" i="2" s="1"/>
  <c r="BD59" i="2" s="1"/>
  <c r="BD60" i="2" s="1"/>
  <c r="BD61" i="2" s="1"/>
  <c r="BD62" i="2" s="1"/>
  <c r="BD63" i="2" s="1"/>
  <c r="BD64" i="2" s="1"/>
  <c r="BD65" i="2" s="1"/>
  <c r="BD66" i="2" s="1"/>
  <c r="BD67" i="2" s="1"/>
  <c r="BD68" i="2" s="1"/>
  <c r="DD4" i="2"/>
  <c r="DJ4" i="2" s="1"/>
  <c r="H158" i="2"/>
  <c r="H156" i="2"/>
  <c r="I155" i="2" s="1"/>
  <c r="J154" i="2" s="1"/>
  <c r="K153" i="2" s="1"/>
  <c r="L152" i="2" s="1"/>
  <c r="M151" i="2" s="1"/>
  <c r="N150" i="2" s="1"/>
  <c r="O149" i="2" s="1"/>
  <c r="P148" i="2" s="1"/>
  <c r="Q147" i="2" s="1"/>
  <c r="R146" i="2" s="1"/>
  <c r="S145" i="2" s="1"/>
  <c r="T144" i="2" s="1"/>
  <c r="U143" i="2" s="1"/>
  <c r="V142" i="2" s="1"/>
  <c r="W141" i="2" s="1"/>
  <c r="X140" i="2" s="1"/>
  <c r="Y139" i="2" s="1"/>
  <c r="Z138" i="2" s="1"/>
  <c r="AA137" i="2" s="1"/>
  <c r="AB136" i="2" s="1"/>
  <c r="AC135" i="2" s="1"/>
  <c r="AD134" i="2" s="1"/>
  <c r="AE133" i="2" s="1"/>
  <c r="AF132" i="2" s="1"/>
  <c r="AG131" i="2" s="1"/>
  <c r="AH130" i="2" s="1"/>
  <c r="AI129" i="2" s="1"/>
  <c r="AJ128" i="2" s="1"/>
  <c r="AK127" i="2" s="1"/>
  <c r="AL126" i="2" s="1"/>
  <c r="AM125" i="2" s="1"/>
  <c r="AN124" i="2" s="1"/>
  <c r="AO123" i="2" s="1"/>
  <c r="AP122" i="2" s="1"/>
  <c r="AQ121" i="2" s="1"/>
  <c r="AR120" i="2" s="1"/>
  <c r="AS119" i="2" s="1"/>
  <c r="AT118" i="2" s="1"/>
  <c r="AU117" i="2" s="1"/>
  <c r="AV116" i="2" s="1"/>
  <c r="AW115" i="2" s="1"/>
  <c r="AX114" i="2" s="1"/>
  <c r="AY113" i="2" s="1"/>
  <c r="AZ112" i="2" s="1"/>
  <c r="BA111" i="2" s="1"/>
  <c r="BB110" i="2" s="1"/>
  <c r="BB111" i="2" s="1"/>
  <c r="AZ5" i="2"/>
  <c r="H54" i="2"/>
  <c r="I53" i="2" s="1"/>
  <c r="J52" i="2" s="1"/>
  <c r="K51" i="2" s="1"/>
  <c r="L50" i="2" s="1"/>
  <c r="M49" i="2" s="1"/>
  <c r="N48" i="2" s="1"/>
  <c r="O47" i="2" s="1"/>
  <c r="P46" i="2" s="1"/>
  <c r="Q45" i="2" s="1"/>
  <c r="R44" i="2" s="1"/>
  <c r="S43" i="2" s="1"/>
  <c r="T42" i="2" s="1"/>
  <c r="U41" i="2" s="1"/>
  <c r="V40" i="2" s="1"/>
  <c r="W39" i="2" s="1"/>
  <c r="X38" i="2" s="1"/>
  <c r="Y37" i="2" s="1"/>
  <c r="Z36" i="2" s="1"/>
  <c r="AA35" i="2" s="1"/>
  <c r="AB34" i="2" s="1"/>
  <c r="AC33" i="2" s="1"/>
  <c r="AD32" i="2" s="1"/>
  <c r="AE31" i="2" s="1"/>
  <c r="AF30" i="2" s="1"/>
  <c r="AG29" i="2" s="1"/>
  <c r="AH28" i="2" s="1"/>
  <c r="AI27" i="2" s="1"/>
  <c r="AJ26" i="2" s="1"/>
  <c r="AK25" i="2" s="1"/>
  <c r="AL24" i="2" s="1"/>
  <c r="AM23" i="2" s="1"/>
  <c r="AN22" i="2" s="1"/>
  <c r="AO21" i="2" s="1"/>
  <c r="AP20" i="2" s="1"/>
  <c r="AQ19" i="2" s="1"/>
  <c r="AR18" i="2" s="1"/>
  <c r="AS17" i="2" s="1"/>
  <c r="AT16" i="2" s="1"/>
  <c r="AU15" i="2" s="1"/>
  <c r="AV14" i="2" s="1"/>
  <c r="AW13" i="2" s="1"/>
  <c r="AX12" i="2" s="1"/>
  <c r="AY11" i="2" s="1"/>
  <c r="AZ10" i="2" s="1"/>
  <c r="BA9" i="2" s="1"/>
  <c r="BB8" i="2" s="1"/>
  <c r="BB9" i="2" s="1"/>
  <c r="H56" i="2"/>
  <c r="BA108" i="2"/>
  <c r="AZ107" i="2" s="1"/>
  <c r="BD69" i="2" l="1"/>
  <c r="BD170" i="2"/>
  <c r="BD106" i="2"/>
  <c r="F7" i="2"/>
  <c r="DF4" i="2"/>
  <c r="DD5" i="2"/>
  <c r="DC5" i="2" s="1"/>
  <c r="DG4" i="2"/>
  <c r="DD106" i="2"/>
  <c r="DE4" i="2" a="1"/>
  <c r="DE4" i="2" s="1"/>
  <c r="DH4" i="2" s="1"/>
  <c r="I57" i="2"/>
  <c r="I55" i="2"/>
  <c r="J54" i="2" s="1"/>
  <c r="K53" i="2" s="1"/>
  <c r="L52" i="2" s="1"/>
  <c r="M51" i="2" s="1"/>
  <c r="N50" i="2" s="1"/>
  <c r="O49" i="2" s="1"/>
  <c r="P48" i="2" s="1"/>
  <c r="Q47" i="2" s="1"/>
  <c r="R46" i="2" s="1"/>
  <c r="S45" i="2" s="1"/>
  <c r="T44" i="2" s="1"/>
  <c r="U43" i="2" s="1"/>
  <c r="V42" i="2" s="1"/>
  <c r="W41" i="2" s="1"/>
  <c r="X40" i="2" s="1"/>
  <c r="Y39" i="2" s="1"/>
  <c r="Z38" i="2" s="1"/>
  <c r="AA37" i="2" s="1"/>
  <c r="AB36" i="2" s="1"/>
  <c r="AC35" i="2" s="1"/>
  <c r="AD34" i="2" s="1"/>
  <c r="AE33" i="2" s="1"/>
  <c r="AF32" i="2" s="1"/>
  <c r="AG31" i="2" s="1"/>
  <c r="AH30" i="2" s="1"/>
  <c r="AI29" i="2" s="1"/>
  <c r="AJ28" i="2" s="1"/>
  <c r="AK27" i="2" s="1"/>
  <c r="AL26" i="2" s="1"/>
  <c r="AM25" i="2" s="1"/>
  <c r="AN24" i="2" s="1"/>
  <c r="AO23" i="2" s="1"/>
  <c r="AP22" i="2" s="1"/>
  <c r="AQ21" i="2" s="1"/>
  <c r="AR20" i="2" s="1"/>
  <c r="AS19" i="2" s="1"/>
  <c r="AT18" i="2" s="1"/>
  <c r="AU17" i="2" s="1"/>
  <c r="AV16" i="2" s="1"/>
  <c r="AW15" i="2" s="1"/>
  <c r="AX14" i="2" s="1"/>
  <c r="AY13" i="2" s="1"/>
  <c r="AZ12" i="2" s="1"/>
  <c r="BA11" i="2" s="1"/>
  <c r="BB10" i="2" s="1"/>
  <c r="BB11" i="2" s="1"/>
  <c r="BA10" i="2" s="1"/>
  <c r="BA8" i="2"/>
  <c r="I159" i="2"/>
  <c r="I157" i="2"/>
  <c r="J156" i="2" s="1"/>
  <c r="K155" i="2" s="1"/>
  <c r="L154" i="2" s="1"/>
  <c r="M153" i="2" s="1"/>
  <c r="N152" i="2" s="1"/>
  <c r="O151" i="2" s="1"/>
  <c r="P150" i="2" s="1"/>
  <c r="Q149" i="2" s="1"/>
  <c r="R148" i="2" s="1"/>
  <c r="S147" i="2" s="1"/>
  <c r="T146" i="2" s="1"/>
  <c r="U145" i="2" s="1"/>
  <c r="V144" i="2" s="1"/>
  <c r="W143" i="2" s="1"/>
  <c r="X142" i="2" s="1"/>
  <c r="Y141" i="2" s="1"/>
  <c r="Z140" i="2" s="1"/>
  <c r="AA139" i="2" s="1"/>
  <c r="AB138" i="2" s="1"/>
  <c r="AC137" i="2" s="1"/>
  <c r="AD136" i="2" s="1"/>
  <c r="AE135" i="2" s="1"/>
  <c r="AF134" i="2" s="1"/>
  <c r="AG133" i="2" s="1"/>
  <c r="AH132" i="2" s="1"/>
  <c r="AI131" i="2" s="1"/>
  <c r="AJ130" i="2" s="1"/>
  <c r="AK129" i="2" s="1"/>
  <c r="AL128" i="2" s="1"/>
  <c r="AM127" i="2" s="1"/>
  <c r="AN126" i="2" s="1"/>
  <c r="AO125" i="2" s="1"/>
  <c r="AP124" i="2" s="1"/>
  <c r="AQ123" i="2" s="1"/>
  <c r="AR122" i="2" s="1"/>
  <c r="AS121" i="2" s="1"/>
  <c r="AT120" i="2" s="1"/>
  <c r="AU119" i="2" s="1"/>
  <c r="AV118" i="2" s="1"/>
  <c r="AW117" i="2" s="1"/>
  <c r="AX116" i="2" s="1"/>
  <c r="AY115" i="2" s="1"/>
  <c r="AZ114" i="2" s="1"/>
  <c r="BA113" i="2" s="1"/>
  <c r="BB112" i="2" s="1"/>
  <c r="BB113" i="2" s="1"/>
  <c r="BA110" i="2"/>
  <c r="BD70" i="2" l="1"/>
  <c r="BD171" i="2"/>
  <c r="BD108" i="2"/>
  <c r="DG106" i="2"/>
  <c r="DF106" i="2"/>
  <c r="DE106" i="2" a="1"/>
  <c r="DE106" i="2" s="1"/>
  <c r="DG5" i="2"/>
  <c r="DD6" i="2"/>
  <c r="DC6" i="2" s="1"/>
  <c r="DF5" i="2"/>
  <c r="DJ5" i="2"/>
  <c r="DE5" i="2" a="1"/>
  <c r="DE5" i="2" s="1"/>
  <c r="DH5" i="2" s="1"/>
  <c r="DD107" i="2"/>
  <c r="DC106" i="2"/>
  <c r="J160" i="2"/>
  <c r="J158" i="2"/>
  <c r="K157" i="2" s="1"/>
  <c r="L156" i="2" s="1"/>
  <c r="M155" i="2" s="1"/>
  <c r="N154" i="2" s="1"/>
  <c r="O153" i="2" s="1"/>
  <c r="P152" i="2" s="1"/>
  <c r="Q151" i="2" s="1"/>
  <c r="R150" i="2" s="1"/>
  <c r="S149" i="2" s="1"/>
  <c r="T148" i="2" s="1"/>
  <c r="U147" i="2" s="1"/>
  <c r="V146" i="2" s="1"/>
  <c r="W145" i="2" s="1"/>
  <c r="X144" i="2" s="1"/>
  <c r="Y143" i="2" s="1"/>
  <c r="Z142" i="2" s="1"/>
  <c r="AA141" i="2" s="1"/>
  <c r="AB140" i="2" s="1"/>
  <c r="AC139" i="2" s="1"/>
  <c r="AD138" i="2" s="1"/>
  <c r="AE137" i="2" s="1"/>
  <c r="AF136" i="2" s="1"/>
  <c r="AG135" i="2" s="1"/>
  <c r="AH134" i="2" s="1"/>
  <c r="AI133" i="2" s="1"/>
  <c r="AJ132" i="2" s="1"/>
  <c r="AK131" i="2" s="1"/>
  <c r="AL130" i="2" s="1"/>
  <c r="AM129" i="2" s="1"/>
  <c r="AN128" i="2" s="1"/>
  <c r="AO127" i="2" s="1"/>
  <c r="AP126" i="2" s="1"/>
  <c r="AQ125" i="2" s="1"/>
  <c r="AR124" i="2" s="1"/>
  <c r="AS123" i="2" s="1"/>
  <c r="AT122" i="2" s="1"/>
  <c r="AU121" i="2" s="1"/>
  <c r="AV120" i="2" s="1"/>
  <c r="AW119" i="2" s="1"/>
  <c r="AX118" i="2" s="1"/>
  <c r="AY117" i="2" s="1"/>
  <c r="AZ116" i="2" s="1"/>
  <c r="BA115" i="2" s="1"/>
  <c r="BB114" i="2" s="1"/>
  <c r="BB115" i="2" s="1"/>
  <c r="AZ9" i="2"/>
  <c r="AZ7" i="2"/>
  <c r="J58" i="2"/>
  <c r="J56" i="2"/>
  <c r="K55" i="2" s="1"/>
  <c r="L54" i="2" s="1"/>
  <c r="M53" i="2" s="1"/>
  <c r="N52" i="2" s="1"/>
  <c r="O51" i="2" s="1"/>
  <c r="P50" i="2" s="1"/>
  <c r="Q49" i="2" s="1"/>
  <c r="R48" i="2" s="1"/>
  <c r="S47" i="2" s="1"/>
  <c r="T46" i="2" s="1"/>
  <c r="U45" i="2" s="1"/>
  <c r="V44" i="2" s="1"/>
  <c r="W43" i="2" s="1"/>
  <c r="X42" i="2" s="1"/>
  <c r="Y41" i="2" s="1"/>
  <c r="Z40" i="2" s="1"/>
  <c r="AA39" i="2" s="1"/>
  <c r="AB38" i="2" s="1"/>
  <c r="AC37" i="2" s="1"/>
  <c r="AD36" i="2" s="1"/>
  <c r="AE35" i="2" s="1"/>
  <c r="AF34" i="2" s="1"/>
  <c r="AG33" i="2" s="1"/>
  <c r="AH32" i="2" s="1"/>
  <c r="AI31" i="2" s="1"/>
  <c r="AJ30" i="2" s="1"/>
  <c r="AK29" i="2" s="1"/>
  <c r="AL28" i="2" s="1"/>
  <c r="AM27" i="2" s="1"/>
  <c r="AN26" i="2" s="1"/>
  <c r="AO25" i="2" s="1"/>
  <c r="AP24" i="2" s="1"/>
  <c r="AQ23" i="2" s="1"/>
  <c r="AR22" i="2" s="1"/>
  <c r="AS21" i="2" s="1"/>
  <c r="AT20" i="2" s="1"/>
  <c r="AU19" i="2" s="1"/>
  <c r="AV18" i="2" s="1"/>
  <c r="AW17" i="2" s="1"/>
  <c r="AX16" i="2" s="1"/>
  <c r="AY15" i="2" s="1"/>
  <c r="AZ14" i="2" s="1"/>
  <c r="BA13" i="2" s="1"/>
  <c r="BB12" i="2" s="1"/>
  <c r="BB13" i="2" s="1"/>
  <c r="AZ109" i="2"/>
  <c r="BA112" i="2"/>
  <c r="BD71" i="2" l="1"/>
  <c r="BD172" i="2"/>
  <c r="BD107" i="2"/>
  <c r="DG107" i="2"/>
  <c r="DE107" i="2" a="1"/>
  <c r="DE107" i="2" s="1"/>
  <c r="DF107" i="2"/>
  <c r="DD7" i="2"/>
  <c r="DC7" i="2" s="1"/>
  <c r="DG6" i="2"/>
  <c r="DF6" i="2"/>
  <c r="DD108" i="2"/>
  <c r="DC107" i="2"/>
  <c r="DJ6" i="2"/>
  <c r="DE6" i="2" a="1"/>
  <c r="DE6" i="2" s="1"/>
  <c r="DH6" i="2" s="1"/>
  <c r="AY8" i="2"/>
  <c r="AY6" i="2"/>
  <c r="AX7" i="2" s="1"/>
  <c r="K59" i="2"/>
  <c r="K57" i="2"/>
  <c r="L56" i="2" s="1"/>
  <c r="M55" i="2" s="1"/>
  <c r="N54" i="2" s="1"/>
  <c r="O53" i="2" s="1"/>
  <c r="P52" i="2" s="1"/>
  <c r="Q51" i="2" s="1"/>
  <c r="R50" i="2" s="1"/>
  <c r="S49" i="2" s="1"/>
  <c r="T48" i="2" s="1"/>
  <c r="U47" i="2" s="1"/>
  <c r="V46" i="2" s="1"/>
  <c r="W45" i="2" s="1"/>
  <c r="X44" i="2" s="1"/>
  <c r="Y43" i="2" s="1"/>
  <c r="Z42" i="2" s="1"/>
  <c r="AA41" i="2" s="1"/>
  <c r="AB40" i="2" s="1"/>
  <c r="AC39" i="2" s="1"/>
  <c r="AD38" i="2" s="1"/>
  <c r="AE37" i="2" s="1"/>
  <c r="AF36" i="2" s="1"/>
  <c r="AG35" i="2" s="1"/>
  <c r="AH34" i="2" s="1"/>
  <c r="AI33" i="2" s="1"/>
  <c r="AJ32" i="2" s="1"/>
  <c r="AK31" i="2" s="1"/>
  <c r="AL30" i="2" s="1"/>
  <c r="AM29" i="2" s="1"/>
  <c r="AN28" i="2" s="1"/>
  <c r="AO27" i="2" s="1"/>
  <c r="AP26" i="2" s="1"/>
  <c r="AQ25" i="2" s="1"/>
  <c r="AR24" i="2" s="1"/>
  <c r="AS23" i="2" s="1"/>
  <c r="AT22" i="2" s="1"/>
  <c r="AU21" i="2" s="1"/>
  <c r="AV20" i="2" s="1"/>
  <c r="AW19" i="2" s="1"/>
  <c r="AX18" i="2" s="1"/>
  <c r="AY17" i="2" s="1"/>
  <c r="AZ16" i="2" s="1"/>
  <c r="BA15" i="2" s="1"/>
  <c r="BB14" i="2" s="1"/>
  <c r="BB15" i="2" s="1"/>
  <c r="K161" i="2"/>
  <c r="K159" i="2"/>
  <c r="L158" i="2" s="1"/>
  <c r="M157" i="2" s="1"/>
  <c r="N156" i="2" s="1"/>
  <c r="O155" i="2" s="1"/>
  <c r="P154" i="2" s="1"/>
  <c r="Q153" i="2" s="1"/>
  <c r="R152" i="2" s="1"/>
  <c r="S151" i="2" s="1"/>
  <c r="T150" i="2" s="1"/>
  <c r="U149" i="2" s="1"/>
  <c r="V148" i="2" s="1"/>
  <c r="W147" i="2" s="1"/>
  <c r="X146" i="2" s="1"/>
  <c r="Y145" i="2" s="1"/>
  <c r="Z144" i="2" s="1"/>
  <c r="AA143" i="2" s="1"/>
  <c r="AB142" i="2" s="1"/>
  <c r="AC141" i="2" s="1"/>
  <c r="AD140" i="2" s="1"/>
  <c r="AE139" i="2" s="1"/>
  <c r="AF138" i="2" s="1"/>
  <c r="AG137" i="2" s="1"/>
  <c r="AH136" i="2" s="1"/>
  <c r="AI135" i="2" s="1"/>
  <c r="AJ134" i="2" s="1"/>
  <c r="AK133" i="2" s="1"/>
  <c r="AL132" i="2" s="1"/>
  <c r="AM131" i="2" s="1"/>
  <c r="AN130" i="2" s="1"/>
  <c r="AO129" i="2" s="1"/>
  <c r="AP128" i="2" s="1"/>
  <c r="AQ127" i="2" s="1"/>
  <c r="AR126" i="2" s="1"/>
  <c r="AS125" i="2" s="1"/>
  <c r="AT124" i="2" s="1"/>
  <c r="AU123" i="2" s="1"/>
  <c r="AV122" i="2" s="1"/>
  <c r="AW121" i="2" s="1"/>
  <c r="AX120" i="2" s="1"/>
  <c r="AY119" i="2" s="1"/>
  <c r="AZ118" i="2" s="1"/>
  <c r="BA117" i="2" s="1"/>
  <c r="BB116" i="2" s="1"/>
  <c r="BB117" i="2" s="1"/>
  <c r="AZ111" i="2"/>
  <c r="AY110" i="2" s="1"/>
  <c r="AY108" i="2"/>
  <c r="BA114" i="2"/>
  <c r="AZ113" i="2" s="1"/>
  <c r="BA12" i="2"/>
  <c r="DH107" i="2" l="1"/>
  <c r="BD72" i="2"/>
  <c r="BD173" i="2"/>
  <c r="BD109" i="2"/>
  <c r="DE108" i="2" a="1"/>
  <c r="DE108" i="2" s="1"/>
  <c r="DF108" i="2"/>
  <c r="DG108" i="2"/>
  <c r="DD8" i="2"/>
  <c r="DC8" i="2" s="1"/>
  <c r="DG7" i="2"/>
  <c r="DF7" i="2"/>
  <c r="DJ7" i="2"/>
  <c r="DE7" i="2" a="1"/>
  <c r="DE7" i="2" s="1"/>
  <c r="DH7" i="2" s="1"/>
  <c r="DD109" i="2"/>
  <c r="DC108" i="2"/>
  <c r="AY112" i="2"/>
  <c r="AX111" i="2" s="1"/>
  <c r="AZ11" i="2"/>
  <c r="L58" i="2"/>
  <c r="M57" i="2" s="1"/>
  <c r="N56" i="2" s="1"/>
  <c r="O55" i="2" s="1"/>
  <c r="P54" i="2" s="1"/>
  <c r="Q53" i="2" s="1"/>
  <c r="R52" i="2" s="1"/>
  <c r="S51" i="2" s="1"/>
  <c r="T50" i="2" s="1"/>
  <c r="U49" i="2" s="1"/>
  <c r="V48" i="2" s="1"/>
  <c r="W47" i="2" s="1"/>
  <c r="X46" i="2" s="1"/>
  <c r="Y45" i="2" s="1"/>
  <c r="Z44" i="2" s="1"/>
  <c r="AA43" i="2" s="1"/>
  <c r="AB42" i="2" s="1"/>
  <c r="AC41" i="2" s="1"/>
  <c r="AD40" i="2" s="1"/>
  <c r="AE39" i="2" s="1"/>
  <c r="AF38" i="2" s="1"/>
  <c r="AG37" i="2" s="1"/>
  <c r="AH36" i="2" s="1"/>
  <c r="AI35" i="2" s="1"/>
  <c r="AJ34" i="2" s="1"/>
  <c r="AK33" i="2" s="1"/>
  <c r="AL32" i="2" s="1"/>
  <c r="AM31" i="2" s="1"/>
  <c r="AN30" i="2" s="1"/>
  <c r="AO29" i="2" s="1"/>
  <c r="AP28" i="2" s="1"/>
  <c r="AQ27" i="2" s="1"/>
  <c r="AR26" i="2" s="1"/>
  <c r="AS25" i="2" s="1"/>
  <c r="AT24" i="2" s="1"/>
  <c r="AU23" i="2" s="1"/>
  <c r="AV22" i="2" s="1"/>
  <c r="AW21" i="2" s="1"/>
  <c r="AX20" i="2" s="1"/>
  <c r="AY19" i="2" s="1"/>
  <c r="AZ18" i="2" s="1"/>
  <c r="BA17" i="2" s="1"/>
  <c r="BB16" i="2" s="1"/>
  <c r="BB17" i="2" s="1"/>
  <c r="BA16" i="2" s="1"/>
  <c r="L60" i="2"/>
  <c r="L162" i="2"/>
  <c r="L160" i="2"/>
  <c r="M159" i="2" s="1"/>
  <c r="N158" i="2" s="1"/>
  <c r="O157" i="2" s="1"/>
  <c r="P156" i="2" s="1"/>
  <c r="Q155" i="2" s="1"/>
  <c r="R154" i="2" s="1"/>
  <c r="S153" i="2" s="1"/>
  <c r="T152" i="2" s="1"/>
  <c r="U151" i="2" s="1"/>
  <c r="V150" i="2" s="1"/>
  <c r="W149" i="2" s="1"/>
  <c r="X148" i="2" s="1"/>
  <c r="Y147" i="2" s="1"/>
  <c r="Z146" i="2" s="1"/>
  <c r="AA145" i="2" s="1"/>
  <c r="AB144" i="2" s="1"/>
  <c r="AC143" i="2" s="1"/>
  <c r="AD142" i="2" s="1"/>
  <c r="AE141" i="2" s="1"/>
  <c r="AF140" i="2" s="1"/>
  <c r="AG139" i="2" s="1"/>
  <c r="AH138" i="2" s="1"/>
  <c r="AI137" i="2" s="1"/>
  <c r="AJ136" i="2" s="1"/>
  <c r="AK135" i="2" s="1"/>
  <c r="AL134" i="2" s="1"/>
  <c r="AM133" i="2" s="1"/>
  <c r="AN132" i="2" s="1"/>
  <c r="AO131" i="2" s="1"/>
  <c r="AP130" i="2" s="1"/>
  <c r="AQ129" i="2" s="1"/>
  <c r="AR128" i="2" s="1"/>
  <c r="AS127" i="2" s="1"/>
  <c r="AT126" i="2" s="1"/>
  <c r="AU125" i="2" s="1"/>
  <c r="AV124" i="2" s="1"/>
  <c r="AW123" i="2" s="1"/>
  <c r="AX122" i="2" s="1"/>
  <c r="AY121" i="2" s="1"/>
  <c r="AZ120" i="2" s="1"/>
  <c r="BA119" i="2" s="1"/>
  <c r="BB118" i="2" s="1"/>
  <c r="BB119" i="2" s="1"/>
  <c r="BA118" i="2" s="1"/>
  <c r="AX109" i="2"/>
  <c r="BA116" i="2"/>
  <c r="AZ115" i="2" s="1"/>
  <c r="BA14" i="2"/>
  <c r="AZ13" i="2" s="1"/>
  <c r="DH108" i="2" l="1"/>
  <c r="BD73" i="2"/>
  <c r="BD174" i="2"/>
  <c r="BD110" i="2"/>
  <c r="DF109" i="2"/>
  <c r="DE109" i="2" a="1"/>
  <c r="DE109" i="2" s="1"/>
  <c r="DH109" i="2" s="1"/>
  <c r="DG109" i="2"/>
  <c r="DD9" i="2"/>
  <c r="DC9" i="2" s="1"/>
  <c r="DG8" i="2"/>
  <c r="DF8" i="2"/>
  <c r="DD110" i="2"/>
  <c r="DC109" i="2"/>
  <c r="DJ8" i="2"/>
  <c r="DE8" i="2" a="1"/>
  <c r="DE8" i="2" s="1"/>
  <c r="DH8" i="2" s="1"/>
  <c r="AW110" i="2"/>
  <c r="AZ15" i="2"/>
  <c r="M61" i="2"/>
  <c r="M59" i="2"/>
  <c r="N58" i="2" s="1"/>
  <c r="O57" i="2" s="1"/>
  <c r="P56" i="2" s="1"/>
  <c r="Q55" i="2" s="1"/>
  <c r="R54" i="2" s="1"/>
  <c r="S53" i="2" s="1"/>
  <c r="T52" i="2" s="1"/>
  <c r="U51" i="2" s="1"/>
  <c r="V50" i="2" s="1"/>
  <c r="W49" i="2" s="1"/>
  <c r="X48" i="2" s="1"/>
  <c r="Y47" i="2" s="1"/>
  <c r="Z46" i="2" s="1"/>
  <c r="AA45" i="2" s="1"/>
  <c r="AB44" i="2" s="1"/>
  <c r="AC43" i="2" s="1"/>
  <c r="AD42" i="2" s="1"/>
  <c r="AE41" i="2" s="1"/>
  <c r="AF40" i="2" s="1"/>
  <c r="AG39" i="2" s="1"/>
  <c r="AH38" i="2" s="1"/>
  <c r="AI37" i="2" s="1"/>
  <c r="AJ36" i="2" s="1"/>
  <c r="AK35" i="2" s="1"/>
  <c r="AL34" i="2" s="1"/>
  <c r="AM33" i="2" s="1"/>
  <c r="AN32" i="2" s="1"/>
  <c r="AO31" i="2" s="1"/>
  <c r="AP30" i="2" s="1"/>
  <c r="AQ29" i="2" s="1"/>
  <c r="AR28" i="2" s="1"/>
  <c r="AS27" i="2" s="1"/>
  <c r="AT26" i="2" s="1"/>
  <c r="AU25" i="2" s="1"/>
  <c r="AV24" i="2" s="1"/>
  <c r="AW23" i="2" s="1"/>
  <c r="AX22" i="2" s="1"/>
  <c r="AY21" i="2" s="1"/>
  <c r="AZ20" i="2" s="1"/>
  <c r="BA19" i="2" s="1"/>
  <c r="BB18" i="2" s="1"/>
  <c r="BB19" i="2" s="1"/>
  <c r="AY12" i="2"/>
  <c r="AY10" i="2"/>
  <c r="AY114" i="2"/>
  <c r="AZ117" i="2"/>
  <c r="M163" i="2"/>
  <c r="M161" i="2"/>
  <c r="N160" i="2" s="1"/>
  <c r="O159" i="2" s="1"/>
  <c r="P158" i="2" s="1"/>
  <c r="Q157" i="2" s="1"/>
  <c r="R156" i="2" s="1"/>
  <c r="S155" i="2" s="1"/>
  <c r="T154" i="2" s="1"/>
  <c r="U153" i="2" s="1"/>
  <c r="V152" i="2" s="1"/>
  <c r="W151" i="2" s="1"/>
  <c r="X150" i="2" s="1"/>
  <c r="Y149" i="2" s="1"/>
  <c r="Z148" i="2" s="1"/>
  <c r="AA147" i="2" s="1"/>
  <c r="AB146" i="2" s="1"/>
  <c r="AC145" i="2" s="1"/>
  <c r="AD144" i="2" s="1"/>
  <c r="AE143" i="2" s="1"/>
  <c r="AF142" i="2" s="1"/>
  <c r="AG141" i="2" s="1"/>
  <c r="AH140" i="2" s="1"/>
  <c r="AI139" i="2" s="1"/>
  <c r="AJ138" i="2" s="1"/>
  <c r="AK137" i="2" s="1"/>
  <c r="AL136" i="2" s="1"/>
  <c r="AM135" i="2" s="1"/>
  <c r="AN134" i="2" s="1"/>
  <c r="AO133" i="2" s="1"/>
  <c r="AP132" i="2" s="1"/>
  <c r="AQ131" i="2" s="1"/>
  <c r="AR130" i="2" s="1"/>
  <c r="AS129" i="2" s="1"/>
  <c r="AT128" i="2" s="1"/>
  <c r="AU127" i="2" s="1"/>
  <c r="AV126" i="2" s="1"/>
  <c r="AW125" i="2" s="1"/>
  <c r="AX124" i="2" s="1"/>
  <c r="AY123" i="2" s="1"/>
  <c r="AZ122" i="2" s="1"/>
  <c r="BA121" i="2" s="1"/>
  <c r="BB120" i="2" s="1"/>
  <c r="BB121" i="2" s="1"/>
  <c r="BD74" i="2" l="1"/>
  <c r="BD175" i="2"/>
  <c r="BD111" i="2"/>
  <c r="DF110" i="2"/>
  <c r="DG110" i="2"/>
  <c r="DE110" i="2" a="1"/>
  <c r="DE110" i="2" s="1"/>
  <c r="DH110" i="2" s="1"/>
  <c r="DD10" i="2"/>
  <c r="DC10" i="2" s="1"/>
  <c r="DF9" i="2"/>
  <c r="DG9" i="2"/>
  <c r="DD111" i="2"/>
  <c r="DC110" i="2"/>
  <c r="DJ9" i="2"/>
  <c r="DE9" i="2" a="1"/>
  <c r="DE9" i="2" s="1"/>
  <c r="AX11" i="2"/>
  <c r="AX9" i="2"/>
  <c r="BA120" i="2"/>
  <c r="N62" i="2"/>
  <c r="N60" i="2"/>
  <c r="O59" i="2" s="1"/>
  <c r="P58" i="2" s="1"/>
  <c r="Q57" i="2" s="1"/>
  <c r="R56" i="2" s="1"/>
  <c r="S55" i="2" s="1"/>
  <c r="T54" i="2" s="1"/>
  <c r="U53" i="2" s="1"/>
  <c r="V52" i="2" s="1"/>
  <c r="W51" i="2" s="1"/>
  <c r="X50" i="2" s="1"/>
  <c r="Y49" i="2" s="1"/>
  <c r="Z48" i="2" s="1"/>
  <c r="AA47" i="2" s="1"/>
  <c r="AB46" i="2" s="1"/>
  <c r="AC45" i="2" s="1"/>
  <c r="AD44" i="2" s="1"/>
  <c r="AE43" i="2" s="1"/>
  <c r="AF42" i="2" s="1"/>
  <c r="AG41" i="2" s="1"/>
  <c r="AH40" i="2" s="1"/>
  <c r="AI39" i="2" s="1"/>
  <c r="AJ38" i="2" s="1"/>
  <c r="AK37" i="2" s="1"/>
  <c r="AL36" i="2" s="1"/>
  <c r="AM35" i="2" s="1"/>
  <c r="AN34" i="2" s="1"/>
  <c r="AO33" i="2" s="1"/>
  <c r="AP32" i="2" s="1"/>
  <c r="AQ31" i="2" s="1"/>
  <c r="AR30" i="2" s="1"/>
  <c r="AS29" i="2" s="1"/>
  <c r="AT28" i="2" s="1"/>
  <c r="AU27" i="2" s="1"/>
  <c r="AV26" i="2" s="1"/>
  <c r="AW25" i="2" s="1"/>
  <c r="AX24" i="2" s="1"/>
  <c r="AY23" i="2" s="1"/>
  <c r="AZ22" i="2" s="1"/>
  <c r="BA21" i="2" s="1"/>
  <c r="BB20" i="2" s="1"/>
  <c r="BB21" i="2" s="1"/>
  <c r="BA18" i="2"/>
  <c r="N164" i="2"/>
  <c r="N162" i="2"/>
  <c r="O161" i="2" s="1"/>
  <c r="P160" i="2" s="1"/>
  <c r="Q159" i="2" s="1"/>
  <c r="R158" i="2" s="1"/>
  <c r="S157" i="2" s="1"/>
  <c r="T156" i="2" s="1"/>
  <c r="U155" i="2" s="1"/>
  <c r="V154" i="2" s="1"/>
  <c r="W153" i="2" s="1"/>
  <c r="X152" i="2" s="1"/>
  <c r="Y151" i="2" s="1"/>
  <c r="Z150" i="2" s="1"/>
  <c r="AA149" i="2" s="1"/>
  <c r="AB148" i="2" s="1"/>
  <c r="AC147" i="2" s="1"/>
  <c r="AD146" i="2" s="1"/>
  <c r="AE145" i="2" s="1"/>
  <c r="AF144" i="2" s="1"/>
  <c r="AG143" i="2" s="1"/>
  <c r="AH142" i="2" s="1"/>
  <c r="AI141" i="2" s="1"/>
  <c r="AJ140" i="2" s="1"/>
  <c r="AK139" i="2" s="1"/>
  <c r="AL138" i="2" s="1"/>
  <c r="AM137" i="2" s="1"/>
  <c r="AN136" i="2" s="1"/>
  <c r="AO135" i="2" s="1"/>
  <c r="AP134" i="2" s="1"/>
  <c r="AQ133" i="2" s="1"/>
  <c r="AR132" i="2" s="1"/>
  <c r="AS131" i="2" s="1"/>
  <c r="AT130" i="2" s="1"/>
  <c r="AU129" i="2" s="1"/>
  <c r="AV128" i="2" s="1"/>
  <c r="AW127" i="2" s="1"/>
  <c r="AX126" i="2" s="1"/>
  <c r="AY125" i="2" s="1"/>
  <c r="AZ124" i="2" s="1"/>
  <c r="BA123" i="2" s="1"/>
  <c r="BB122" i="2" s="1"/>
  <c r="BB123" i="2" s="1"/>
  <c r="BA122" i="2" s="1"/>
  <c r="AX113" i="2"/>
  <c r="AY116" i="2"/>
  <c r="AY14" i="2"/>
  <c r="AX13" i="2" s="1"/>
  <c r="DH9" i="2" l="1"/>
  <c r="BD75" i="2"/>
  <c r="BD176" i="2"/>
  <c r="BD112" i="2"/>
  <c r="DG111" i="2"/>
  <c r="DE111" i="2" a="1"/>
  <c r="DE111" i="2" s="1"/>
  <c r="DH111" i="2" s="1"/>
  <c r="DF111" i="2"/>
  <c r="DD11" i="2"/>
  <c r="DC11" i="2" s="1"/>
  <c r="DF10" i="2"/>
  <c r="DG10" i="2"/>
  <c r="DD112" i="2"/>
  <c r="DC111" i="2"/>
  <c r="DJ10" i="2"/>
  <c r="DE10" i="2" a="1"/>
  <c r="DE10" i="2" s="1"/>
  <c r="DH10" i="2" s="1"/>
  <c r="O63" i="2"/>
  <c r="O61" i="2"/>
  <c r="P60" i="2" s="1"/>
  <c r="Q59" i="2" s="1"/>
  <c r="R58" i="2" s="1"/>
  <c r="S57" i="2" s="1"/>
  <c r="T56" i="2" s="1"/>
  <c r="U55" i="2" s="1"/>
  <c r="V54" i="2" s="1"/>
  <c r="W53" i="2" s="1"/>
  <c r="X52" i="2" s="1"/>
  <c r="Y51" i="2" s="1"/>
  <c r="Z50" i="2" s="1"/>
  <c r="AA49" i="2" s="1"/>
  <c r="AB48" i="2" s="1"/>
  <c r="AC47" i="2" s="1"/>
  <c r="AD46" i="2" s="1"/>
  <c r="AE45" i="2" s="1"/>
  <c r="AF44" i="2" s="1"/>
  <c r="AG43" i="2" s="1"/>
  <c r="AH42" i="2" s="1"/>
  <c r="AI41" i="2" s="1"/>
  <c r="AJ40" i="2" s="1"/>
  <c r="AK39" i="2" s="1"/>
  <c r="AL38" i="2" s="1"/>
  <c r="AM37" i="2" s="1"/>
  <c r="AN36" i="2" s="1"/>
  <c r="AO35" i="2" s="1"/>
  <c r="AP34" i="2" s="1"/>
  <c r="AQ33" i="2" s="1"/>
  <c r="AR32" i="2" s="1"/>
  <c r="AS31" i="2" s="1"/>
  <c r="AT30" i="2" s="1"/>
  <c r="AU29" i="2" s="1"/>
  <c r="AV28" i="2" s="1"/>
  <c r="AW27" i="2" s="1"/>
  <c r="AX26" i="2" s="1"/>
  <c r="AY25" i="2" s="1"/>
  <c r="AZ24" i="2" s="1"/>
  <c r="BA23" i="2" s="1"/>
  <c r="BB22" i="2" s="1"/>
  <c r="BB23" i="2" s="1"/>
  <c r="AW112" i="2"/>
  <c r="AX115" i="2"/>
  <c r="AW114" i="2" s="1"/>
  <c r="AZ121" i="2"/>
  <c r="AZ119" i="2"/>
  <c r="O163" i="2"/>
  <c r="P162" i="2" s="1"/>
  <c r="Q161" i="2" s="1"/>
  <c r="R160" i="2" s="1"/>
  <c r="S159" i="2" s="1"/>
  <c r="T158" i="2" s="1"/>
  <c r="U157" i="2" s="1"/>
  <c r="V156" i="2" s="1"/>
  <c r="W155" i="2" s="1"/>
  <c r="X154" i="2" s="1"/>
  <c r="Y153" i="2" s="1"/>
  <c r="Z152" i="2" s="1"/>
  <c r="AA151" i="2" s="1"/>
  <c r="AB150" i="2" s="1"/>
  <c r="AC149" i="2" s="1"/>
  <c r="AD148" i="2" s="1"/>
  <c r="AE147" i="2" s="1"/>
  <c r="AF146" i="2" s="1"/>
  <c r="AG145" i="2" s="1"/>
  <c r="AH144" i="2" s="1"/>
  <c r="AI143" i="2" s="1"/>
  <c r="AJ142" i="2" s="1"/>
  <c r="AK141" i="2" s="1"/>
  <c r="AL140" i="2" s="1"/>
  <c r="AM139" i="2" s="1"/>
  <c r="AN138" i="2" s="1"/>
  <c r="AO137" i="2" s="1"/>
  <c r="AP136" i="2" s="1"/>
  <c r="AQ135" i="2" s="1"/>
  <c r="AR134" i="2" s="1"/>
  <c r="AS133" i="2" s="1"/>
  <c r="AT132" i="2" s="1"/>
  <c r="AU131" i="2" s="1"/>
  <c r="AV130" i="2" s="1"/>
  <c r="AW129" i="2" s="1"/>
  <c r="AX128" i="2" s="1"/>
  <c r="AY127" i="2" s="1"/>
  <c r="AZ126" i="2" s="1"/>
  <c r="BA125" i="2" s="1"/>
  <c r="BB124" i="2" s="1"/>
  <c r="BB125" i="2" s="1"/>
  <c r="O165" i="2"/>
  <c r="BA20" i="2"/>
  <c r="AZ19" i="2" s="1"/>
  <c r="AW10" i="2"/>
  <c r="AW8" i="2"/>
  <c r="AZ17" i="2"/>
  <c r="AW12" i="2"/>
  <c r="BD76" i="2" l="1"/>
  <c r="BD177" i="2"/>
  <c r="BD113" i="2"/>
  <c r="DE112" i="2" a="1"/>
  <c r="DE112" i="2" s="1"/>
  <c r="DF112" i="2"/>
  <c r="DG112" i="2"/>
  <c r="DD12" i="2"/>
  <c r="DC12" i="2" s="1"/>
  <c r="DF11" i="2"/>
  <c r="DG11" i="2"/>
  <c r="DJ11" i="2"/>
  <c r="DE11" i="2" a="1"/>
  <c r="DE11" i="2" s="1"/>
  <c r="DD113" i="2"/>
  <c r="DC112" i="2"/>
  <c r="BA124" i="2"/>
  <c r="AZ123" i="2" s="1"/>
  <c r="AY122" i="2" s="1"/>
  <c r="BA22" i="2"/>
  <c r="AY18" i="2"/>
  <c r="AY16" i="2"/>
  <c r="AY120" i="2"/>
  <c r="AY118" i="2"/>
  <c r="AV113" i="2"/>
  <c r="AV111" i="2"/>
  <c r="P166" i="2"/>
  <c r="P164" i="2"/>
  <c r="Q163" i="2" s="1"/>
  <c r="R162" i="2" s="1"/>
  <c r="S161" i="2" s="1"/>
  <c r="T160" i="2" s="1"/>
  <c r="U159" i="2" s="1"/>
  <c r="V158" i="2" s="1"/>
  <c r="W157" i="2" s="1"/>
  <c r="X156" i="2" s="1"/>
  <c r="Y155" i="2" s="1"/>
  <c r="Z154" i="2" s="1"/>
  <c r="AA153" i="2" s="1"/>
  <c r="AB152" i="2" s="1"/>
  <c r="AC151" i="2" s="1"/>
  <c r="AD150" i="2" s="1"/>
  <c r="AE149" i="2" s="1"/>
  <c r="AF148" i="2" s="1"/>
  <c r="AG147" i="2" s="1"/>
  <c r="AH146" i="2" s="1"/>
  <c r="AI145" i="2" s="1"/>
  <c r="AJ144" i="2" s="1"/>
  <c r="AK143" i="2" s="1"/>
  <c r="AL142" i="2" s="1"/>
  <c r="AM141" i="2" s="1"/>
  <c r="AN140" i="2" s="1"/>
  <c r="AO139" i="2" s="1"/>
  <c r="AP138" i="2" s="1"/>
  <c r="AQ137" i="2" s="1"/>
  <c r="AR136" i="2" s="1"/>
  <c r="AS135" i="2" s="1"/>
  <c r="AT134" i="2" s="1"/>
  <c r="AU133" i="2" s="1"/>
  <c r="AV132" i="2" s="1"/>
  <c r="AW131" i="2" s="1"/>
  <c r="AX130" i="2" s="1"/>
  <c r="AY129" i="2" s="1"/>
  <c r="AZ128" i="2" s="1"/>
  <c r="BA127" i="2" s="1"/>
  <c r="BB126" i="2" s="1"/>
  <c r="BB127" i="2" s="1"/>
  <c r="BA126" i="2" s="1"/>
  <c r="AV9" i="2"/>
  <c r="AV11" i="2"/>
  <c r="P62" i="2"/>
  <c r="Q61" i="2" s="1"/>
  <c r="R60" i="2" s="1"/>
  <c r="S59" i="2" s="1"/>
  <c r="T58" i="2" s="1"/>
  <c r="U57" i="2" s="1"/>
  <c r="V56" i="2" s="1"/>
  <c r="W55" i="2" s="1"/>
  <c r="X54" i="2" s="1"/>
  <c r="Y53" i="2" s="1"/>
  <c r="Z52" i="2" s="1"/>
  <c r="AA51" i="2" s="1"/>
  <c r="AB50" i="2" s="1"/>
  <c r="AC49" i="2" s="1"/>
  <c r="AD48" i="2" s="1"/>
  <c r="AE47" i="2" s="1"/>
  <c r="AF46" i="2" s="1"/>
  <c r="AG45" i="2" s="1"/>
  <c r="AH44" i="2" s="1"/>
  <c r="AI43" i="2" s="1"/>
  <c r="AJ42" i="2" s="1"/>
  <c r="AK41" i="2" s="1"/>
  <c r="AL40" i="2" s="1"/>
  <c r="AM39" i="2" s="1"/>
  <c r="AN38" i="2" s="1"/>
  <c r="AO37" i="2" s="1"/>
  <c r="AP36" i="2" s="1"/>
  <c r="AQ35" i="2" s="1"/>
  <c r="AR34" i="2" s="1"/>
  <c r="AS33" i="2" s="1"/>
  <c r="AT32" i="2" s="1"/>
  <c r="AU31" i="2" s="1"/>
  <c r="AV30" i="2" s="1"/>
  <c r="AW29" i="2" s="1"/>
  <c r="AX28" i="2" s="1"/>
  <c r="AY27" i="2" s="1"/>
  <c r="AZ26" i="2" s="1"/>
  <c r="BA25" i="2" s="1"/>
  <c r="BB24" i="2" s="1"/>
  <c r="BB25" i="2" s="1"/>
  <c r="BA24" i="2" s="1"/>
  <c r="P64" i="2"/>
  <c r="DH112" i="2" l="1"/>
  <c r="DH11" i="2"/>
  <c r="BD77" i="2"/>
  <c r="BD178" i="2"/>
  <c r="BD114" i="2"/>
  <c r="DE113" i="2" a="1"/>
  <c r="DE113" i="2" s="1"/>
  <c r="DH113" i="2" s="1"/>
  <c r="DF113" i="2"/>
  <c r="DG113" i="2"/>
  <c r="DD13" i="2"/>
  <c r="DC13" i="2" s="1"/>
  <c r="DF12" i="2"/>
  <c r="DG12" i="2"/>
  <c r="DD114" i="2"/>
  <c r="DC113" i="2"/>
  <c r="DJ12" i="2"/>
  <c r="DE12" i="2" a="1"/>
  <c r="DE12" i="2" s="1"/>
  <c r="DH12" i="2" s="1"/>
  <c r="AU112" i="2"/>
  <c r="AU10" i="2"/>
  <c r="AZ125" i="2"/>
  <c r="AY124" i="2" s="1"/>
  <c r="AX123" i="2" s="1"/>
  <c r="AX17" i="2"/>
  <c r="AX15" i="2"/>
  <c r="AZ21" i="2"/>
  <c r="AZ23" i="2"/>
  <c r="Q165" i="2"/>
  <c r="R164" i="2" s="1"/>
  <c r="S163" i="2" s="1"/>
  <c r="T162" i="2" s="1"/>
  <c r="U161" i="2" s="1"/>
  <c r="V160" i="2" s="1"/>
  <c r="W159" i="2" s="1"/>
  <c r="X158" i="2" s="1"/>
  <c r="Y157" i="2" s="1"/>
  <c r="Z156" i="2" s="1"/>
  <c r="AA155" i="2" s="1"/>
  <c r="AB154" i="2" s="1"/>
  <c r="AC153" i="2" s="1"/>
  <c r="AD152" i="2" s="1"/>
  <c r="AE151" i="2" s="1"/>
  <c r="AF150" i="2" s="1"/>
  <c r="AG149" i="2" s="1"/>
  <c r="AH148" i="2" s="1"/>
  <c r="AI147" i="2" s="1"/>
  <c r="AJ146" i="2" s="1"/>
  <c r="AK145" i="2" s="1"/>
  <c r="AL144" i="2" s="1"/>
  <c r="AM143" i="2" s="1"/>
  <c r="AN142" i="2" s="1"/>
  <c r="AO141" i="2" s="1"/>
  <c r="AP140" i="2" s="1"/>
  <c r="AQ139" i="2" s="1"/>
  <c r="AR138" i="2" s="1"/>
  <c r="AS137" i="2" s="1"/>
  <c r="AT136" i="2" s="1"/>
  <c r="AU135" i="2" s="1"/>
  <c r="AV134" i="2" s="1"/>
  <c r="AW133" i="2" s="1"/>
  <c r="AX132" i="2" s="1"/>
  <c r="AY131" i="2" s="1"/>
  <c r="AZ130" i="2" s="1"/>
  <c r="BA129" i="2" s="1"/>
  <c r="BB128" i="2" s="1"/>
  <c r="BB129" i="2" s="1"/>
  <c r="Q167" i="2"/>
  <c r="Q63" i="2"/>
  <c r="R62" i="2" s="1"/>
  <c r="S61" i="2" s="1"/>
  <c r="T60" i="2" s="1"/>
  <c r="U59" i="2" s="1"/>
  <c r="V58" i="2" s="1"/>
  <c r="W57" i="2" s="1"/>
  <c r="X56" i="2" s="1"/>
  <c r="Y55" i="2" s="1"/>
  <c r="Z54" i="2" s="1"/>
  <c r="AA53" i="2" s="1"/>
  <c r="AB52" i="2" s="1"/>
  <c r="AC51" i="2" s="1"/>
  <c r="AD50" i="2" s="1"/>
  <c r="AE49" i="2" s="1"/>
  <c r="AF48" i="2" s="1"/>
  <c r="AG47" i="2" s="1"/>
  <c r="AH46" i="2" s="1"/>
  <c r="AI45" i="2" s="1"/>
  <c r="AJ44" i="2" s="1"/>
  <c r="AK43" i="2" s="1"/>
  <c r="AL42" i="2" s="1"/>
  <c r="AM41" i="2" s="1"/>
  <c r="AN40" i="2" s="1"/>
  <c r="AO39" i="2" s="1"/>
  <c r="AP38" i="2" s="1"/>
  <c r="AQ37" i="2" s="1"/>
  <c r="AR36" i="2" s="1"/>
  <c r="AS35" i="2" s="1"/>
  <c r="AT34" i="2" s="1"/>
  <c r="AU33" i="2" s="1"/>
  <c r="AV32" i="2" s="1"/>
  <c r="AW31" i="2" s="1"/>
  <c r="AX30" i="2" s="1"/>
  <c r="AY29" i="2" s="1"/>
  <c r="AZ28" i="2" s="1"/>
  <c r="BA27" i="2" s="1"/>
  <c r="BB26" i="2" s="1"/>
  <c r="BB27" i="2" s="1"/>
  <c r="BA26" i="2" s="1"/>
  <c r="Q65" i="2"/>
  <c r="AX119" i="2"/>
  <c r="AX117" i="2"/>
  <c r="AX121" i="2"/>
  <c r="BD78" i="2" l="1"/>
  <c r="BD179" i="2"/>
  <c r="BD115" i="2"/>
  <c r="DE114" i="2" a="1"/>
  <c r="DE114" i="2" s="1"/>
  <c r="DF114" i="2"/>
  <c r="DG114" i="2"/>
  <c r="DD14" i="2"/>
  <c r="DC14" i="2" s="1"/>
  <c r="DG13" i="2"/>
  <c r="DF13" i="2"/>
  <c r="DJ13" i="2"/>
  <c r="DE13" i="2" a="1"/>
  <c r="DE13" i="2" s="1"/>
  <c r="DD115" i="2"/>
  <c r="DC114" i="2"/>
  <c r="AW122" i="2"/>
  <c r="AZ25" i="2"/>
  <c r="AY24" i="2" s="1"/>
  <c r="AY22" i="2"/>
  <c r="AY20" i="2"/>
  <c r="R66" i="2"/>
  <c r="R64" i="2"/>
  <c r="S63" i="2" s="1"/>
  <c r="T62" i="2" s="1"/>
  <c r="U61" i="2" s="1"/>
  <c r="V60" i="2" s="1"/>
  <c r="W59" i="2" s="1"/>
  <c r="X58" i="2" s="1"/>
  <c r="Y57" i="2" s="1"/>
  <c r="Z56" i="2" s="1"/>
  <c r="AA55" i="2" s="1"/>
  <c r="AB54" i="2" s="1"/>
  <c r="AC53" i="2" s="1"/>
  <c r="AD52" i="2" s="1"/>
  <c r="AE51" i="2" s="1"/>
  <c r="AF50" i="2" s="1"/>
  <c r="AG49" i="2" s="1"/>
  <c r="AH48" i="2" s="1"/>
  <c r="AI47" i="2" s="1"/>
  <c r="AJ46" i="2" s="1"/>
  <c r="AK45" i="2" s="1"/>
  <c r="AL44" i="2" s="1"/>
  <c r="AM43" i="2" s="1"/>
  <c r="AN42" i="2" s="1"/>
  <c r="AO41" i="2" s="1"/>
  <c r="AP40" i="2" s="1"/>
  <c r="AQ39" i="2" s="1"/>
  <c r="AR38" i="2" s="1"/>
  <c r="AS37" i="2" s="1"/>
  <c r="AT36" i="2" s="1"/>
  <c r="AU35" i="2" s="1"/>
  <c r="AV34" i="2" s="1"/>
  <c r="AW33" i="2" s="1"/>
  <c r="AX32" i="2" s="1"/>
  <c r="AY31" i="2" s="1"/>
  <c r="AZ30" i="2" s="1"/>
  <c r="BA29" i="2" s="1"/>
  <c r="BB28" i="2" s="1"/>
  <c r="BB29" i="2" s="1"/>
  <c r="BA28" i="2" s="1"/>
  <c r="AZ27" i="2" s="1"/>
  <c r="R166" i="2"/>
  <c r="S165" i="2" s="1"/>
  <c r="T164" i="2" s="1"/>
  <c r="U163" i="2" s="1"/>
  <c r="V162" i="2" s="1"/>
  <c r="W161" i="2" s="1"/>
  <c r="X160" i="2" s="1"/>
  <c r="Y159" i="2" s="1"/>
  <c r="Z158" i="2" s="1"/>
  <c r="AA157" i="2" s="1"/>
  <c r="AB156" i="2" s="1"/>
  <c r="AC155" i="2" s="1"/>
  <c r="AD154" i="2" s="1"/>
  <c r="AE153" i="2" s="1"/>
  <c r="AF152" i="2" s="1"/>
  <c r="AG151" i="2" s="1"/>
  <c r="AH150" i="2" s="1"/>
  <c r="AI149" i="2" s="1"/>
  <c r="AJ148" i="2" s="1"/>
  <c r="AK147" i="2" s="1"/>
  <c r="AL146" i="2" s="1"/>
  <c r="AM145" i="2" s="1"/>
  <c r="AN144" i="2" s="1"/>
  <c r="AO143" i="2" s="1"/>
  <c r="AP142" i="2" s="1"/>
  <c r="AQ141" i="2" s="1"/>
  <c r="AR140" i="2" s="1"/>
  <c r="AS139" i="2" s="1"/>
  <c r="AT138" i="2" s="1"/>
  <c r="AU137" i="2" s="1"/>
  <c r="AV136" i="2" s="1"/>
  <c r="AW135" i="2" s="1"/>
  <c r="AX134" i="2" s="1"/>
  <c r="AY133" i="2" s="1"/>
  <c r="AZ132" i="2" s="1"/>
  <c r="BA131" i="2" s="1"/>
  <c r="BB130" i="2" s="1"/>
  <c r="BB131" i="2" s="1"/>
  <c r="BA130" i="2" s="1"/>
  <c r="R168" i="2"/>
  <c r="BA128" i="2"/>
  <c r="AW118" i="2"/>
  <c r="AW116" i="2"/>
  <c r="AW16" i="2"/>
  <c r="AW14" i="2"/>
  <c r="AW120" i="2"/>
  <c r="AV121" i="2" s="1"/>
  <c r="DH114" i="2" l="1"/>
  <c r="DH13" i="2"/>
  <c r="BD79" i="2"/>
  <c r="BD180" i="2"/>
  <c r="BD116" i="2"/>
  <c r="DG115" i="2"/>
  <c r="DE115" i="2" a="1"/>
  <c r="DE115" i="2" s="1"/>
  <c r="DH115" i="2" s="1"/>
  <c r="DF115" i="2"/>
  <c r="DD15" i="2"/>
  <c r="DC15" i="2" s="1"/>
  <c r="DG14" i="2"/>
  <c r="DF14" i="2"/>
  <c r="DD116" i="2"/>
  <c r="DC115" i="2"/>
  <c r="DJ14" i="2"/>
  <c r="DE14" i="2" a="1"/>
  <c r="DE14" i="2" s="1"/>
  <c r="DH14" i="2" s="1"/>
  <c r="AV119" i="2"/>
  <c r="AU120" i="2" s="1"/>
  <c r="S67" i="2"/>
  <c r="S65" i="2"/>
  <c r="T64" i="2" s="1"/>
  <c r="U63" i="2" s="1"/>
  <c r="V62" i="2" s="1"/>
  <c r="W61" i="2" s="1"/>
  <c r="X60" i="2" s="1"/>
  <c r="Y59" i="2" s="1"/>
  <c r="Z58" i="2" s="1"/>
  <c r="AA57" i="2" s="1"/>
  <c r="AB56" i="2" s="1"/>
  <c r="AC55" i="2" s="1"/>
  <c r="AD54" i="2" s="1"/>
  <c r="AE53" i="2" s="1"/>
  <c r="AF52" i="2" s="1"/>
  <c r="AG51" i="2" s="1"/>
  <c r="AH50" i="2" s="1"/>
  <c r="AI49" i="2" s="1"/>
  <c r="AJ48" i="2" s="1"/>
  <c r="AK47" i="2" s="1"/>
  <c r="AL46" i="2" s="1"/>
  <c r="AM45" i="2" s="1"/>
  <c r="AN44" i="2" s="1"/>
  <c r="AO43" i="2" s="1"/>
  <c r="AP42" i="2" s="1"/>
  <c r="AQ41" i="2" s="1"/>
  <c r="AR40" i="2" s="1"/>
  <c r="AS39" i="2" s="1"/>
  <c r="AT38" i="2" s="1"/>
  <c r="AU37" i="2" s="1"/>
  <c r="AV36" i="2" s="1"/>
  <c r="AW35" i="2" s="1"/>
  <c r="AX34" i="2" s="1"/>
  <c r="AY33" i="2" s="1"/>
  <c r="AZ32" i="2" s="1"/>
  <c r="BA31" i="2" s="1"/>
  <c r="BB30" i="2" s="1"/>
  <c r="BB31" i="2" s="1"/>
  <c r="BA30" i="2" s="1"/>
  <c r="AZ29" i="2" s="1"/>
  <c r="AX21" i="2"/>
  <c r="AX19" i="2"/>
  <c r="AV117" i="2"/>
  <c r="AV115" i="2"/>
  <c r="AX23" i="2"/>
  <c r="AZ129" i="2"/>
  <c r="AZ127" i="2"/>
  <c r="AV15" i="2"/>
  <c r="AV13" i="2"/>
  <c r="S167" i="2"/>
  <c r="T166" i="2" s="1"/>
  <c r="U165" i="2" s="1"/>
  <c r="V164" i="2" s="1"/>
  <c r="W163" i="2" s="1"/>
  <c r="X162" i="2" s="1"/>
  <c r="Y161" i="2" s="1"/>
  <c r="Z160" i="2" s="1"/>
  <c r="AA159" i="2" s="1"/>
  <c r="AB158" i="2" s="1"/>
  <c r="AC157" i="2" s="1"/>
  <c r="AD156" i="2" s="1"/>
  <c r="AE155" i="2" s="1"/>
  <c r="AF154" i="2" s="1"/>
  <c r="AG153" i="2" s="1"/>
  <c r="AH152" i="2" s="1"/>
  <c r="AI151" i="2" s="1"/>
  <c r="AJ150" i="2" s="1"/>
  <c r="AK149" i="2" s="1"/>
  <c r="AL148" i="2" s="1"/>
  <c r="AM147" i="2" s="1"/>
  <c r="AN146" i="2" s="1"/>
  <c r="AO145" i="2" s="1"/>
  <c r="AP144" i="2" s="1"/>
  <c r="AQ143" i="2" s="1"/>
  <c r="AR142" i="2" s="1"/>
  <c r="AS141" i="2" s="1"/>
  <c r="AT140" i="2" s="1"/>
  <c r="AU139" i="2" s="1"/>
  <c r="AV138" i="2" s="1"/>
  <c r="AW137" i="2" s="1"/>
  <c r="AX136" i="2" s="1"/>
  <c r="AY135" i="2" s="1"/>
  <c r="AZ134" i="2" s="1"/>
  <c r="BA133" i="2" s="1"/>
  <c r="BB132" i="2" s="1"/>
  <c r="BB133" i="2" s="1"/>
  <c r="S169" i="2"/>
  <c r="AY26" i="2"/>
  <c r="BD80" i="2" l="1"/>
  <c r="BD181" i="2"/>
  <c r="BD117" i="2"/>
  <c r="AU118" i="2"/>
  <c r="AT119" i="2" s="1"/>
  <c r="DE116" i="2" a="1"/>
  <c r="DE116" i="2" s="1"/>
  <c r="DF116" i="2"/>
  <c r="DG116" i="2"/>
  <c r="DD16" i="2"/>
  <c r="DC16" i="2" s="1"/>
  <c r="DG15" i="2"/>
  <c r="DF15" i="2"/>
  <c r="DJ15" i="2"/>
  <c r="DE15" i="2" a="1"/>
  <c r="DE15" i="2" s="1"/>
  <c r="DH15" i="2" s="1"/>
  <c r="DD117" i="2"/>
  <c r="DC116" i="2"/>
  <c r="AW22" i="2"/>
  <c r="AY28" i="2"/>
  <c r="AX27" i="2" s="1"/>
  <c r="AY128" i="2"/>
  <c r="AY126" i="2"/>
  <c r="AW20" i="2"/>
  <c r="AW18" i="2"/>
  <c r="AX25" i="2"/>
  <c r="AW24" i="2" s="1"/>
  <c r="T168" i="2"/>
  <c r="U167" i="2" s="1"/>
  <c r="V166" i="2" s="1"/>
  <c r="W165" i="2" s="1"/>
  <c r="X164" i="2" s="1"/>
  <c r="Y163" i="2" s="1"/>
  <c r="Z162" i="2" s="1"/>
  <c r="AA161" i="2" s="1"/>
  <c r="AB160" i="2" s="1"/>
  <c r="AC159" i="2" s="1"/>
  <c r="AD158" i="2" s="1"/>
  <c r="AE157" i="2" s="1"/>
  <c r="AF156" i="2" s="1"/>
  <c r="AG155" i="2" s="1"/>
  <c r="AH154" i="2" s="1"/>
  <c r="AI153" i="2" s="1"/>
  <c r="AJ152" i="2" s="1"/>
  <c r="AK151" i="2" s="1"/>
  <c r="AL150" i="2" s="1"/>
  <c r="AM149" i="2" s="1"/>
  <c r="AN148" i="2" s="1"/>
  <c r="AO147" i="2" s="1"/>
  <c r="AP146" i="2" s="1"/>
  <c r="AQ145" i="2" s="1"/>
  <c r="AR144" i="2" s="1"/>
  <c r="AS143" i="2" s="1"/>
  <c r="AT142" i="2" s="1"/>
  <c r="AU141" i="2" s="1"/>
  <c r="AV140" i="2" s="1"/>
  <c r="AW139" i="2" s="1"/>
  <c r="AX138" i="2" s="1"/>
  <c r="AY137" i="2" s="1"/>
  <c r="AZ136" i="2" s="1"/>
  <c r="BA135" i="2" s="1"/>
  <c r="BB134" i="2" s="1"/>
  <c r="BB135" i="2" s="1"/>
  <c r="BA134" i="2" s="1"/>
  <c r="T170" i="2"/>
  <c r="BA132" i="2"/>
  <c r="T68" i="2"/>
  <c r="T66" i="2"/>
  <c r="U65" i="2" s="1"/>
  <c r="V64" i="2" s="1"/>
  <c r="W63" i="2" s="1"/>
  <c r="X62" i="2" s="1"/>
  <c r="Y61" i="2" s="1"/>
  <c r="Z60" i="2" s="1"/>
  <c r="AA59" i="2" s="1"/>
  <c r="AB58" i="2" s="1"/>
  <c r="AC57" i="2" s="1"/>
  <c r="AD56" i="2" s="1"/>
  <c r="AE55" i="2" s="1"/>
  <c r="AF54" i="2" s="1"/>
  <c r="AG53" i="2" s="1"/>
  <c r="AH52" i="2" s="1"/>
  <c r="AI51" i="2" s="1"/>
  <c r="AJ50" i="2" s="1"/>
  <c r="AK49" i="2" s="1"/>
  <c r="AL48" i="2" s="1"/>
  <c r="AM47" i="2" s="1"/>
  <c r="AN46" i="2" s="1"/>
  <c r="AO45" i="2" s="1"/>
  <c r="AP44" i="2" s="1"/>
  <c r="AQ43" i="2" s="1"/>
  <c r="AR42" i="2" s="1"/>
  <c r="AS41" i="2" s="1"/>
  <c r="AT40" i="2" s="1"/>
  <c r="AU39" i="2" s="1"/>
  <c r="AV38" i="2" s="1"/>
  <c r="AW37" i="2" s="1"/>
  <c r="AX36" i="2" s="1"/>
  <c r="AY35" i="2" s="1"/>
  <c r="AZ34" i="2" s="1"/>
  <c r="BA33" i="2" s="1"/>
  <c r="BB32" i="2" s="1"/>
  <c r="BB33" i="2" s="1"/>
  <c r="AU14" i="2"/>
  <c r="AU12" i="2"/>
  <c r="AU116" i="2"/>
  <c r="AT117" i="2" s="1"/>
  <c r="AS118" i="2" s="1"/>
  <c r="AU114" i="2"/>
  <c r="DH116" i="2" l="1"/>
  <c r="AV21" i="2"/>
  <c r="BD81" i="2"/>
  <c r="BD182" i="2"/>
  <c r="BD118" i="2"/>
  <c r="AW26" i="2"/>
  <c r="AV25" i="2" s="1"/>
  <c r="DE117" i="2" a="1"/>
  <c r="DE117" i="2" s="1"/>
  <c r="DH117" i="2" s="1"/>
  <c r="DF117" i="2"/>
  <c r="DG117" i="2"/>
  <c r="DD17" i="2"/>
  <c r="DC17" i="2" s="1"/>
  <c r="DG16" i="2"/>
  <c r="DF16" i="2"/>
  <c r="DD118" i="2"/>
  <c r="DC117" i="2"/>
  <c r="DJ16" i="2"/>
  <c r="DE16" i="2" a="1"/>
  <c r="DE16" i="2" s="1"/>
  <c r="DH16" i="2" s="1"/>
  <c r="AV23" i="2"/>
  <c r="AX125" i="2"/>
  <c r="AX127" i="2"/>
  <c r="U171" i="2"/>
  <c r="U169" i="2"/>
  <c r="V168" i="2" s="1"/>
  <c r="W167" i="2" s="1"/>
  <c r="X166" i="2" s="1"/>
  <c r="Y165" i="2" s="1"/>
  <c r="Z164" i="2" s="1"/>
  <c r="AA163" i="2" s="1"/>
  <c r="AB162" i="2" s="1"/>
  <c r="AC161" i="2" s="1"/>
  <c r="AD160" i="2" s="1"/>
  <c r="AE159" i="2" s="1"/>
  <c r="AF158" i="2" s="1"/>
  <c r="AG157" i="2" s="1"/>
  <c r="AH156" i="2" s="1"/>
  <c r="AI155" i="2" s="1"/>
  <c r="AJ154" i="2" s="1"/>
  <c r="AK153" i="2" s="1"/>
  <c r="AL152" i="2" s="1"/>
  <c r="AM151" i="2" s="1"/>
  <c r="AN150" i="2" s="1"/>
  <c r="AO149" i="2" s="1"/>
  <c r="AP148" i="2" s="1"/>
  <c r="AQ147" i="2" s="1"/>
  <c r="AR146" i="2" s="1"/>
  <c r="AS145" i="2" s="1"/>
  <c r="AT144" i="2" s="1"/>
  <c r="AU143" i="2" s="1"/>
  <c r="AV142" i="2" s="1"/>
  <c r="AW141" i="2" s="1"/>
  <c r="AX140" i="2" s="1"/>
  <c r="AY139" i="2" s="1"/>
  <c r="AZ138" i="2" s="1"/>
  <c r="BA137" i="2" s="1"/>
  <c r="BB136" i="2" s="1"/>
  <c r="BB137" i="2" s="1"/>
  <c r="BA136" i="2" s="1"/>
  <c r="BA32" i="2"/>
  <c r="U69" i="2"/>
  <c r="U67" i="2"/>
  <c r="V66" i="2" s="1"/>
  <c r="W65" i="2" s="1"/>
  <c r="X64" i="2" s="1"/>
  <c r="Y63" i="2" s="1"/>
  <c r="Z62" i="2" s="1"/>
  <c r="AA61" i="2" s="1"/>
  <c r="AB60" i="2" s="1"/>
  <c r="AC59" i="2" s="1"/>
  <c r="AD58" i="2" s="1"/>
  <c r="AE57" i="2" s="1"/>
  <c r="AF56" i="2" s="1"/>
  <c r="AG55" i="2" s="1"/>
  <c r="AH54" i="2" s="1"/>
  <c r="AI53" i="2" s="1"/>
  <c r="AJ52" i="2" s="1"/>
  <c r="AK51" i="2" s="1"/>
  <c r="AL50" i="2" s="1"/>
  <c r="AM49" i="2" s="1"/>
  <c r="AN48" i="2" s="1"/>
  <c r="AO47" i="2" s="1"/>
  <c r="AP46" i="2" s="1"/>
  <c r="AQ45" i="2" s="1"/>
  <c r="AR44" i="2" s="1"/>
  <c r="AS43" i="2" s="1"/>
  <c r="AT42" i="2" s="1"/>
  <c r="AU41" i="2" s="1"/>
  <c r="AV40" i="2" s="1"/>
  <c r="AW39" i="2" s="1"/>
  <c r="AX38" i="2" s="1"/>
  <c r="AY37" i="2" s="1"/>
  <c r="AZ36" i="2" s="1"/>
  <c r="BA35" i="2" s="1"/>
  <c r="BB34" i="2" s="1"/>
  <c r="BB35" i="2" s="1"/>
  <c r="BA34" i="2" s="1"/>
  <c r="AZ133" i="2"/>
  <c r="AZ131" i="2"/>
  <c r="AV19" i="2"/>
  <c r="AU20" i="2" s="1"/>
  <c r="AV17" i="2"/>
  <c r="AT115" i="2"/>
  <c r="AS116" i="2" s="1"/>
  <c r="AR117" i="2" s="1"/>
  <c r="AT113" i="2"/>
  <c r="AT13" i="2"/>
  <c r="AT11" i="2"/>
  <c r="BD82" i="2" l="1"/>
  <c r="BD183" i="2"/>
  <c r="BD119" i="2"/>
  <c r="AS12" i="2"/>
  <c r="DF118" i="2"/>
  <c r="DG118" i="2"/>
  <c r="DE118" i="2" a="1"/>
  <c r="DE118" i="2" s="1"/>
  <c r="DH118" i="2" s="1"/>
  <c r="DD18" i="2"/>
  <c r="DC18" i="2" s="1"/>
  <c r="DF17" i="2"/>
  <c r="DG17" i="2"/>
  <c r="DJ17" i="2"/>
  <c r="DE17" i="2" a="1"/>
  <c r="DE17" i="2" s="1"/>
  <c r="DH17" i="2" s="1"/>
  <c r="DD119" i="2"/>
  <c r="DC118" i="2"/>
  <c r="AU24" i="2"/>
  <c r="AS114" i="2"/>
  <c r="AR115" i="2" s="1"/>
  <c r="AQ116" i="2" s="1"/>
  <c r="AZ135" i="2"/>
  <c r="AY134" i="2" s="1"/>
  <c r="V70" i="2"/>
  <c r="V68" i="2"/>
  <c r="W67" i="2" s="1"/>
  <c r="X66" i="2" s="1"/>
  <c r="Y65" i="2" s="1"/>
  <c r="Z64" i="2" s="1"/>
  <c r="AA63" i="2" s="1"/>
  <c r="AB62" i="2" s="1"/>
  <c r="AC61" i="2" s="1"/>
  <c r="AD60" i="2" s="1"/>
  <c r="AE59" i="2" s="1"/>
  <c r="AF58" i="2" s="1"/>
  <c r="AG57" i="2" s="1"/>
  <c r="AH56" i="2" s="1"/>
  <c r="AI55" i="2" s="1"/>
  <c r="AJ54" i="2" s="1"/>
  <c r="AK53" i="2" s="1"/>
  <c r="AL52" i="2" s="1"/>
  <c r="AM51" i="2" s="1"/>
  <c r="AN50" i="2" s="1"/>
  <c r="AO49" i="2" s="1"/>
  <c r="AP48" i="2" s="1"/>
  <c r="AQ47" i="2" s="1"/>
  <c r="AR46" i="2" s="1"/>
  <c r="AS45" i="2" s="1"/>
  <c r="AT44" i="2" s="1"/>
  <c r="AU43" i="2" s="1"/>
  <c r="AV42" i="2" s="1"/>
  <c r="AW41" i="2" s="1"/>
  <c r="AX40" i="2" s="1"/>
  <c r="AY39" i="2" s="1"/>
  <c r="AZ38" i="2" s="1"/>
  <c r="BA37" i="2" s="1"/>
  <c r="BB36" i="2" s="1"/>
  <c r="BB37" i="2" s="1"/>
  <c r="BA36" i="2" s="1"/>
  <c r="AW126" i="2"/>
  <c r="AW124" i="2"/>
  <c r="AZ33" i="2"/>
  <c r="AZ31" i="2"/>
  <c r="AU18" i="2"/>
  <c r="AT19" i="2" s="1"/>
  <c r="AU16" i="2"/>
  <c r="AY132" i="2"/>
  <c r="AY130" i="2"/>
  <c r="V172" i="2"/>
  <c r="V170" i="2"/>
  <c r="W169" i="2" s="1"/>
  <c r="X168" i="2" s="1"/>
  <c r="Y167" i="2" s="1"/>
  <c r="Z166" i="2" s="1"/>
  <c r="AA165" i="2" s="1"/>
  <c r="AB164" i="2" s="1"/>
  <c r="AC163" i="2" s="1"/>
  <c r="AD162" i="2" s="1"/>
  <c r="AE161" i="2" s="1"/>
  <c r="AF160" i="2" s="1"/>
  <c r="AG159" i="2" s="1"/>
  <c r="AH158" i="2" s="1"/>
  <c r="AI157" i="2" s="1"/>
  <c r="AJ156" i="2" s="1"/>
  <c r="AK155" i="2" s="1"/>
  <c r="AL154" i="2" s="1"/>
  <c r="AM153" i="2" s="1"/>
  <c r="AN152" i="2" s="1"/>
  <c r="AO151" i="2" s="1"/>
  <c r="AP150" i="2" s="1"/>
  <c r="AQ149" i="2" s="1"/>
  <c r="AR148" i="2" s="1"/>
  <c r="AS147" i="2" s="1"/>
  <c r="AT146" i="2" s="1"/>
  <c r="AU145" i="2" s="1"/>
  <c r="AV144" i="2" s="1"/>
  <c r="AW143" i="2" s="1"/>
  <c r="AX142" i="2" s="1"/>
  <c r="AY141" i="2" s="1"/>
  <c r="AZ140" i="2" s="1"/>
  <c r="BA139" i="2" s="1"/>
  <c r="BB138" i="2" s="1"/>
  <c r="BB139" i="2" s="1"/>
  <c r="BA138" i="2" s="1"/>
  <c r="AU22" i="2"/>
  <c r="AT21" i="2" s="1"/>
  <c r="BD83" i="2" l="1"/>
  <c r="BD184" i="2"/>
  <c r="BD120" i="2"/>
  <c r="DE119" i="2" a="1"/>
  <c r="DE119" i="2" s="1"/>
  <c r="DF119" i="2"/>
  <c r="DG119" i="2"/>
  <c r="DD19" i="2"/>
  <c r="DC19" i="2" s="1"/>
  <c r="DF18" i="2"/>
  <c r="DG18" i="2"/>
  <c r="DJ18" i="2"/>
  <c r="DE18" i="2" a="1"/>
  <c r="DE18" i="2" s="1"/>
  <c r="DD120" i="2"/>
  <c r="DC119" i="2"/>
  <c r="AZ137" i="2"/>
  <c r="AY136" i="2" s="1"/>
  <c r="AX135" i="2" s="1"/>
  <c r="W71" i="2"/>
  <c r="W69" i="2"/>
  <c r="X68" i="2" s="1"/>
  <c r="Y67" i="2" s="1"/>
  <c r="Z66" i="2" s="1"/>
  <c r="AA65" i="2" s="1"/>
  <c r="AB64" i="2" s="1"/>
  <c r="AC63" i="2" s="1"/>
  <c r="AD62" i="2" s="1"/>
  <c r="AE61" i="2" s="1"/>
  <c r="AF60" i="2" s="1"/>
  <c r="AG59" i="2" s="1"/>
  <c r="AH58" i="2" s="1"/>
  <c r="AI57" i="2" s="1"/>
  <c r="AJ56" i="2" s="1"/>
  <c r="AK55" i="2" s="1"/>
  <c r="AL54" i="2" s="1"/>
  <c r="AM53" i="2" s="1"/>
  <c r="AN52" i="2" s="1"/>
  <c r="AO51" i="2" s="1"/>
  <c r="AP50" i="2" s="1"/>
  <c r="AQ49" i="2" s="1"/>
  <c r="AR48" i="2" s="1"/>
  <c r="AS47" i="2" s="1"/>
  <c r="AT46" i="2" s="1"/>
  <c r="AU45" i="2" s="1"/>
  <c r="AV44" i="2" s="1"/>
  <c r="AW43" i="2" s="1"/>
  <c r="AX42" i="2" s="1"/>
  <c r="AY41" i="2" s="1"/>
  <c r="AZ40" i="2" s="1"/>
  <c r="BA39" i="2" s="1"/>
  <c r="BB38" i="2" s="1"/>
  <c r="BB39" i="2" s="1"/>
  <c r="AT23" i="2"/>
  <c r="AS20" i="2"/>
  <c r="AY32" i="2"/>
  <c r="AY30" i="2"/>
  <c r="AT17" i="2"/>
  <c r="AS18" i="2" s="1"/>
  <c r="AT15" i="2"/>
  <c r="W173" i="2"/>
  <c r="W171" i="2"/>
  <c r="X170" i="2" s="1"/>
  <c r="Y169" i="2" s="1"/>
  <c r="Z168" i="2" s="1"/>
  <c r="AA167" i="2" s="1"/>
  <c r="AB166" i="2" s="1"/>
  <c r="AC165" i="2" s="1"/>
  <c r="AD164" i="2" s="1"/>
  <c r="AE163" i="2" s="1"/>
  <c r="AF162" i="2" s="1"/>
  <c r="AG161" i="2" s="1"/>
  <c r="AH160" i="2" s="1"/>
  <c r="AI159" i="2" s="1"/>
  <c r="AJ158" i="2" s="1"/>
  <c r="AK157" i="2" s="1"/>
  <c r="AL156" i="2" s="1"/>
  <c r="AM155" i="2" s="1"/>
  <c r="AN154" i="2" s="1"/>
  <c r="AO153" i="2" s="1"/>
  <c r="AP152" i="2" s="1"/>
  <c r="AQ151" i="2" s="1"/>
  <c r="AR150" i="2" s="1"/>
  <c r="AS149" i="2" s="1"/>
  <c r="AT148" i="2" s="1"/>
  <c r="AU147" i="2" s="1"/>
  <c r="AV146" i="2" s="1"/>
  <c r="AW145" i="2" s="1"/>
  <c r="AX144" i="2" s="1"/>
  <c r="AY143" i="2" s="1"/>
  <c r="AZ142" i="2" s="1"/>
  <c r="BA141" i="2" s="1"/>
  <c r="BB140" i="2" s="1"/>
  <c r="BB141" i="2" s="1"/>
  <c r="BA140" i="2" s="1"/>
  <c r="AV123" i="2"/>
  <c r="AV125" i="2"/>
  <c r="AX131" i="2"/>
  <c r="AX129" i="2"/>
  <c r="AX133" i="2"/>
  <c r="AZ35" i="2"/>
  <c r="AY34" i="2" s="1"/>
  <c r="DH119" i="2" l="1"/>
  <c r="DH18" i="2"/>
  <c r="BD84" i="2"/>
  <c r="BD185" i="2"/>
  <c r="BD121" i="2"/>
  <c r="DE120" i="2" a="1"/>
  <c r="DE120" i="2" s="1"/>
  <c r="DH120" i="2" s="1"/>
  <c r="DF120" i="2"/>
  <c r="DG120" i="2"/>
  <c r="DD20" i="2"/>
  <c r="DC20" i="2" s="1"/>
  <c r="DF19" i="2"/>
  <c r="DG19" i="2"/>
  <c r="DD121" i="2"/>
  <c r="DC120" i="2"/>
  <c r="DJ19" i="2"/>
  <c r="DE19" i="2" a="1"/>
  <c r="DE19" i="2" s="1"/>
  <c r="DH19" i="2" s="1"/>
  <c r="AW134" i="2"/>
  <c r="AZ139" i="2"/>
  <c r="AY138" i="2" s="1"/>
  <c r="BA38" i="2"/>
  <c r="AS16" i="2"/>
  <c r="AR17" i="2" s="1"/>
  <c r="AS14" i="2"/>
  <c r="AR19" i="2"/>
  <c r="X174" i="2"/>
  <c r="X172" i="2"/>
  <c r="Y171" i="2" s="1"/>
  <c r="Z170" i="2" s="1"/>
  <c r="AA169" i="2" s="1"/>
  <c r="AB168" i="2" s="1"/>
  <c r="AC167" i="2" s="1"/>
  <c r="AD166" i="2" s="1"/>
  <c r="AE165" i="2" s="1"/>
  <c r="AF164" i="2" s="1"/>
  <c r="AG163" i="2" s="1"/>
  <c r="AH162" i="2" s="1"/>
  <c r="AI161" i="2" s="1"/>
  <c r="AJ160" i="2" s="1"/>
  <c r="AK159" i="2" s="1"/>
  <c r="AL158" i="2" s="1"/>
  <c r="AM157" i="2" s="1"/>
  <c r="AN156" i="2" s="1"/>
  <c r="AO155" i="2" s="1"/>
  <c r="AP154" i="2" s="1"/>
  <c r="AQ153" i="2" s="1"/>
  <c r="AR152" i="2" s="1"/>
  <c r="AS151" i="2" s="1"/>
  <c r="AT150" i="2" s="1"/>
  <c r="AU149" i="2" s="1"/>
  <c r="AV148" i="2" s="1"/>
  <c r="AW147" i="2" s="1"/>
  <c r="AX146" i="2" s="1"/>
  <c r="AY145" i="2" s="1"/>
  <c r="AZ144" i="2" s="1"/>
  <c r="BA143" i="2" s="1"/>
  <c r="BB142" i="2" s="1"/>
  <c r="BB143" i="2" s="1"/>
  <c r="AW130" i="2"/>
  <c r="AW128" i="2"/>
  <c r="AW132" i="2"/>
  <c r="X72" i="2"/>
  <c r="X70" i="2"/>
  <c r="Y69" i="2" s="1"/>
  <c r="Z68" i="2" s="1"/>
  <c r="AA67" i="2" s="1"/>
  <c r="AB66" i="2" s="1"/>
  <c r="AC65" i="2" s="1"/>
  <c r="AD64" i="2" s="1"/>
  <c r="AE63" i="2" s="1"/>
  <c r="AF62" i="2" s="1"/>
  <c r="AG61" i="2" s="1"/>
  <c r="AH60" i="2" s="1"/>
  <c r="AI59" i="2" s="1"/>
  <c r="AJ58" i="2" s="1"/>
  <c r="AK57" i="2" s="1"/>
  <c r="AL56" i="2" s="1"/>
  <c r="AM55" i="2" s="1"/>
  <c r="AN54" i="2" s="1"/>
  <c r="AO53" i="2" s="1"/>
  <c r="AP52" i="2" s="1"/>
  <c r="AQ51" i="2" s="1"/>
  <c r="AR50" i="2" s="1"/>
  <c r="AS49" i="2" s="1"/>
  <c r="AT48" i="2" s="1"/>
  <c r="AU47" i="2" s="1"/>
  <c r="AV46" i="2" s="1"/>
  <c r="AW45" i="2" s="1"/>
  <c r="AX44" i="2" s="1"/>
  <c r="AY43" i="2" s="1"/>
  <c r="AZ42" i="2" s="1"/>
  <c r="BA41" i="2" s="1"/>
  <c r="BB40" i="2" s="1"/>
  <c r="BB41" i="2" s="1"/>
  <c r="BA40" i="2" s="1"/>
  <c r="AU124" i="2"/>
  <c r="AU122" i="2"/>
  <c r="AX31" i="2"/>
  <c r="AX29" i="2"/>
  <c r="AX33" i="2"/>
  <c r="AS22" i="2"/>
  <c r="AR21" i="2" s="1"/>
  <c r="BD85" i="2" l="1"/>
  <c r="BD186" i="2"/>
  <c r="BD122" i="2"/>
  <c r="DE121" i="2" a="1"/>
  <c r="DE121" i="2" s="1"/>
  <c r="DF121" i="2"/>
  <c r="DG121" i="2"/>
  <c r="DD21" i="2"/>
  <c r="DC21" i="2" s="1"/>
  <c r="DF20" i="2"/>
  <c r="DG20" i="2"/>
  <c r="DJ20" i="2"/>
  <c r="DE20" i="2" a="1"/>
  <c r="DE20" i="2" s="1"/>
  <c r="DD122" i="2"/>
  <c r="DC121" i="2"/>
  <c r="AV133" i="2"/>
  <c r="AQ18" i="2"/>
  <c r="AX137" i="2"/>
  <c r="Y175" i="2"/>
  <c r="Y173" i="2"/>
  <c r="Z172" i="2" s="1"/>
  <c r="AA171" i="2" s="1"/>
  <c r="AB170" i="2" s="1"/>
  <c r="AC169" i="2" s="1"/>
  <c r="AD168" i="2" s="1"/>
  <c r="AE167" i="2" s="1"/>
  <c r="AF166" i="2" s="1"/>
  <c r="AG165" i="2" s="1"/>
  <c r="AH164" i="2" s="1"/>
  <c r="AI163" i="2" s="1"/>
  <c r="AJ162" i="2" s="1"/>
  <c r="AK161" i="2" s="1"/>
  <c r="AL160" i="2" s="1"/>
  <c r="AM159" i="2" s="1"/>
  <c r="AN158" i="2" s="1"/>
  <c r="AO157" i="2" s="1"/>
  <c r="AP156" i="2" s="1"/>
  <c r="AQ155" i="2" s="1"/>
  <c r="AR154" i="2" s="1"/>
  <c r="AS153" i="2" s="1"/>
  <c r="AT152" i="2" s="1"/>
  <c r="AU151" i="2" s="1"/>
  <c r="AV150" i="2" s="1"/>
  <c r="AW149" i="2" s="1"/>
  <c r="AX148" i="2" s="1"/>
  <c r="AY147" i="2" s="1"/>
  <c r="AZ146" i="2" s="1"/>
  <c r="BA145" i="2" s="1"/>
  <c r="BB144" i="2" s="1"/>
  <c r="BB145" i="2" s="1"/>
  <c r="AW28" i="2"/>
  <c r="AW30" i="2"/>
  <c r="AV127" i="2"/>
  <c r="AV129" i="2"/>
  <c r="AZ39" i="2"/>
  <c r="AZ37" i="2"/>
  <c r="Y71" i="2"/>
  <c r="Z70" i="2" s="1"/>
  <c r="AA69" i="2" s="1"/>
  <c r="AB68" i="2" s="1"/>
  <c r="AC67" i="2" s="1"/>
  <c r="AD66" i="2" s="1"/>
  <c r="AE65" i="2" s="1"/>
  <c r="AF64" i="2" s="1"/>
  <c r="AG63" i="2" s="1"/>
  <c r="AH62" i="2" s="1"/>
  <c r="AI61" i="2" s="1"/>
  <c r="AJ60" i="2" s="1"/>
  <c r="AK59" i="2" s="1"/>
  <c r="AL58" i="2" s="1"/>
  <c r="AM57" i="2" s="1"/>
  <c r="AN56" i="2" s="1"/>
  <c r="AO55" i="2" s="1"/>
  <c r="AP54" i="2" s="1"/>
  <c r="AQ53" i="2" s="1"/>
  <c r="AR52" i="2" s="1"/>
  <c r="AS51" i="2" s="1"/>
  <c r="AT50" i="2" s="1"/>
  <c r="AU49" i="2" s="1"/>
  <c r="AV48" i="2" s="1"/>
  <c r="AW47" i="2" s="1"/>
  <c r="AX46" i="2" s="1"/>
  <c r="AY45" i="2" s="1"/>
  <c r="AZ44" i="2" s="1"/>
  <c r="BA43" i="2" s="1"/>
  <c r="BB42" i="2" s="1"/>
  <c r="BB43" i="2" s="1"/>
  <c r="BA42" i="2" s="1"/>
  <c r="Y73" i="2"/>
  <c r="AW32" i="2"/>
  <c r="AV131" i="2"/>
  <c r="AU132" i="2" s="1"/>
  <c r="AQ20" i="2"/>
  <c r="AT123" i="2"/>
  <c r="AT121" i="2"/>
  <c r="BA142" i="2"/>
  <c r="AR15" i="2"/>
  <c r="AQ16" i="2" s="1"/>
  <c r="AP17" i="2" s="1"/>
  <c r="AR13" i="2"/>
  <c r="AQ14" i="2" s="1"/>
  <c r="AP15" i="2" s="1"/>
  <c r="AO16" i="2" s="1"/>
  <c r="DH121" i="2" l="1"/>
  <c r="DH20" i="2"/>
  <c r="BD86" i="2"/>
  <c r="BD187" i="2"/>
  <c r="BD123" i="2"/>
  <c r="DF122" i="2"/>
  <c r="DE122" i="2" a="1"/>
  <c r="DE122" i="2" s="1"/>
  <c r="DG122" i="2"/>
  <c r="DD22" i="2"/>
  <c r="DC22" i="2" s="1"/>
  <c r="DG21" i="2"/>
  <c r="DF21" i="2"/>
  <c r="DJ21" i="2"/>
  <c r="DE21" i="2" a="1"/>
  <c r="DE21" i="2" s="1"/>
  <c r="DH21" i="2" s="1"/>
  <c r="DD123" i="2"/>
  <c r="DC122" i="2"/>
  <c r="AP19" i="2"/>
  <c r="AO18" i="2" s="1"/>
  <c r="AN17" i="2" s="1"/>
  <c r="AU130" i="2"/>
  <c r="AT131" i="2" s="1"/>
  <c r="Z74" i="2"/>
  <c r="Z72" i="2"/>
  <c r="AA71" i="2" s="1"/>
  <c r="AB70" i="2" s="1"/>
  <c r="AC69" i="2" s="1"/>
  <c r="AD68" i="2" s="1"/>
  <c r="AE67" i="2" s="1"/>
  <c r="AF66" i="2" s="1"/>
  <c r="AG65" i="2" s="1"/>
  <c r="AH64" i="2" s="1"/>
  <c r="AI63" i="2" s="1"/>
  <c r="AJ62" i="2" s="1"/>
  <c r="AK61" i="2" s="1"/>
  <c r="AL60" i="2" s="1"/>
  <c r="AM59" i="2" s="1"/>
  <c r="AN58" i="2" s="1"/>
  <c r="AO57" i="2" s="1"/>
  <c r="AP56" i="2" s="1"/>
  <c r="AQ55" i="2" s="1"/>
  <c r="AR54" i="2" s="1"/>
  <c r="AS53" i="2" s="1"/>
  <c r="AT52" i="2" s="1"/>
  <c r="AU51" i="2" s="1"/>
  <c r="AV50" i="2" s="1"/>
  <c r="AW49" i="2" s="1"/>
  <c r="AX48" i="2" s="1"/>
  <c r="AY47" i="2" s="1"/>
  <c r="AZ46" i="2" s="1"/>
  <c r="BA45" i="2" s="1"/>
  <c r="BB44" i="2" s="1"/>
  <c r="BB45" i="2" s="1"/>
  <c r="AY38" i="2"/>
  <c r="AY36" i="2"/>
  <c r="Z174" i="2"/>
  <c r="AA173" i="2" s="1"/>
  <c r="AB172" i="2" s="1"/>
  <c r="AC171" i="2" s="1"/>
  <c r="AD170" i="2" s="1"/>
  <c r="AE169" i="2" s="1"/>
  <c r="AF168" i="2" s="1"/>
  <c r="AG167" i="2" s="1"/>
  <c r="AH166" i="2" s="1"/>
  <c r="AI165" i="2" s="1"/>
  <c r="AJ164" i="2" s="1"/>
  <c r="AK163" i="2" s="1"/>
  <c r="AL162" i="2" s="1"/>
  <c r="AM161" i="2" s="1"/>
  <c r="AN160" i="2" s="1"/>
  <c r="AO159" i="2" s="1"/>
  <c r="AP158" i="2" s="1"/>
  <c r="AQ157" i="2" s="1"/>
  <c r="AR156" i="2" s="1"/>
  <c r="AS155" i="2" s="1"/>
  <c r="AT154" i="2" s="1"/>
  <c r="AU153" i="2" s="1"/>
  <c r="AV152" i="2" s="1"/>
  <c r="AW151" i="2" s="1"/>
  <c r="AX150" i="2" s="1"/>
  <c r="AY149" i="2" s="1"/>
  <c r="AZ148" i="2" s="1"/>
  <c r="BA147" i="2" s="1"/>
  <c r="BB146" i="2" s="1"/>
  <c r="BB147" i="2" s="1"/>
  <c r="BA146" i="2" s="1"/>
  <c r="Z176" i="2"/>
  <c r="AV29" i="2"/>
  <c r="AV27" i="2"/>
  <c r="AS122" i="2"/>
  <c r="AS120" i="2"/>
  <c r="AW136" i="2"/>
  <c r="BA144" i="2"/>
  <c r="AZ143" i="2" s="1"/>
  <c r="AU128" i="2"/>
  <c r="AU126" i="2"/>
  <c r="AZ141" i="2"/>
  <c r="AV31" i="2"/>
  <c r="AZ41" i="2"/>
  <c r="DH122" i="2" l="1"/>
  <c r="BD87" i="2"/>
  <c r="BD188" i="2"/>
  <c r="BD124" i="2"/>
  <c r="AT129" i="2"/>
  <c r="AS130" i="2" s="1"/>
  <c r="DG123" i="2"/>
  <c r="DE123" i="2" a="1"/>
  <c r="DE123" i="2" s="1"/>
  <c r="DF123" i="2"/>
  <c r="DD23" i="2"/>
  <c r="DC23" i="2" s="1"/>
  <c r="DG22" i="2"/>
  <c r="DF22" i="2"/>
  <c r="DJ22" i="2"/>
  <c r="DE22" i="2" a="1"/>
  <c r="DE22" i="2" s="1"/>
  <c r="DH22" i="2" s="1"/>
  <c r="DD124" i="2"/>
  <c r="DC123" i="2"/>
  <c r="AU30" i="2"/>
  <c r="AZ145" i="2"/>
  <c r="AY144" i="2" s="1"/>
  <c r="AX37" i="2"/>
  <c r="AX35" i="2"/>
  <c r="AT127" i="2"/>
  <c r="AS128" i="2" s="1"/>
  <c r="AR129" i="2" s="1"/>
  <c r="AT125" i="2"/>
  <c r="AA175" i="2"/>
  <c r="AB174" i="2" s="1"/>
  <c r="AC173" i="2" s="1"/>
  <c r="AD172" i="2" s="1"/>
  <c r="AE171" i="2" s="1"/>
  <c r="AF170" i="2" s="1"/>
  <c r="AG169" i="2" s="1"/>
  <c r="AH168" i="2" s="1"/>
  <c r="AI167" i="2" s="1"/>
  <c r="AJ166" i="2" s="1"/>
  <c r="AK165" i="2" s="1"/>
  <c r="AL164" i="2" s="1"/>
  <c r="AM163" i="2" s="1"/>
  <c r="AN162" i="2" s="1"/>
  <c r="AO161" i="2" s="1"/>
  <c r="AP160" i="2" s="1"/>
  <c r="AQ159" i="2" s="1"/>
  <c r="AR158" i="2" s="1"/>
  <c r="AS157" i="2" s="1"/>
  <c r="AT156" i="2" s="1"/>
  <c r="AU155" i="2" s="1"/>
  <c r="AV154" i="2" s="1"/>
  <c r="AW153" i="2" s="1"/>
  <c r="AX152" i="2" s="1"/>
  <c r="AY151" i="2" s="1"/>
  <c r="AZ150" i="2" s="1"/>
  <c r="BA149" i="2" s="1"/>
  <c r="BB148" i="2" s="1"/>
  <c r="BB149" i="2" s="1"/>
  <c r="AA177" i="2"/>
  <c r="BA44" i="2"/>
  <c r="AZ43" i="2" s="1"/>
  <c r="AY42" i="2" s="1"/>
  <c r="AY40" i="2"/>
  <c r="AR121" i="2"/>
  <c r="AR119" i="2"/>
  <c r="AA75" i="2"/>
  <c r="AA73" i="2"/>
  <c r="AB72" i="2" s="1"/>
  <c r="AC71" i="2" s="1"/>
  <c r="AD70" i="2" s="1"/>
  <c r="AE69" i="2" s="1"/>
  <c r="AF68" i="2" s="1"/>
  <c r="AG67" i="2" s="1"/>
  <c r="AH66" i="2" s="1"/>
  <c r="AI65" i="2" s="1"/>
  <c r="AJ64" i="2" s="1"/>
  <c r="AK63" i="2" s="1"/>
  <c r="AL62" i="2" s="1"/>
  <c r="AM61" i="2" s="1"/>
  <c r="AN60" i="2" s="1"/>
  <c r="AO59" i="2" s="1"/>
  <c r="AP58" i="2" s="1"/>
  <c r="AQ57" i="2" s="1"/>
  <c r="AR56" i="2" s="1"/>
  <c r="AS55" i="2" s="1"/>
  <c r="AT54" i="2" s="1"/>
  <c r="AU53" i="2" s="1"/>
  <c r="AV52" i="2" s="1"/>
  <c r="AW51" i="2" s="1"/>
  <c r="AX50" i="2" s="1"/>
  <c r="AY49" i="2" s="1"/>
  <c r="AZ48" i="2" s="1"/>
  <c r="BA47" i="2" s="1"/>
  <c r="BB46" i="2" s="1"/>
  <c r="BB47" i="2" s="1"/>
  <c r="AV135" i="2"/>
  <c r="AY142" i="2"/>
  <c r="AY140" i="2"/>
  <c r="AU28" i="2"/>
  <c r="AT29" i="2" s="1"/>
  <c r="AU26" i="2"/>
  <c r="DH123" i="2" l="1"/>
  <c r="BD88" i="2"/>
  <c r="BD189" i="2"/>
  <c r="BD125" i="2"/>
  <c r="DE124" i="2" a="1"/>
  <c r="DE124" i="2" s="1"/>
  <c r="DH124" i="2" s="1"/>
  <c r="DF124" i="2"/>
  <c r="DG124" i="2"/>
  <c r="DD24" i="2"/>
  <c r="DC24" i="2" s="1"/>
  <c r="DF23" i="2"/>
  <c r="DG23" i="2"/>
  <c r="DD125" i="2"/>
  <c r="DC124" i="2"/>
  <c r="DJ23" i="2"/>
  <c r="DE23" i="2" a="1"/>
  <c r="DE23" i="2" s="1"/>
  <c r="DH23" i="2" s="1"/>
  <c r="AX143" i="2"/>
  <c r="AU134" i="2"/>
  <c r="AX41" i="2"/>
  <c r="AW36" i="2"/>
  <c r="AW34" i="2"/>
  <c r="AX39" i="2"/>
  <c r="AW38" i="2" s="1"/>
  <c r="AS126" i="2"/>
  <c r="AR127" i="2" s="1"/>
  <c r="AQ128" i="2" s="1"/>
  <c r="AS124" i="2"/>
  <c r="BA46" i="2"/>
  <c r="AT25" i="2"/>
  <c r="AT27" i="2"/>
  <c r="AS28" i="2" s="1"/>
  <c r="AB76" i="2"/>
  <c r="AB74" i="2"/>
  <c r="AC73" i="2" s="1"/>
  <c r="AD72" i="2" s="1"/>
  <c r="AE71" i="2" s="1"/>
  <c r="AF70" i="2" s="1"/>
  <c r="AG69" i="2" s="1"/>
  <c r="AH68" i="2" s="1"/>
  <c r="AI67" i="2" s="1"/>
  <c r="AJ66" i="2" s="1"/>
  <c r="AK65" i="2" s="1"/>
  <c r="AL64" i="2" s="1"/>
  <c r="AM63" i="2" s="1"/>
  <c r="AN62" i="2" s="1"/>
  <c r="AO61" i="2" s="1"/>
  <c r="AP60" i="2" s="1"/>
  <c r="AQ59" i="2" s="1"/>
  <c r="AR58" i="2" s="1"/>
  <c r="AS57" i="2" s="1"/>
  <c r="AT56" i="2" s="1"/>
  <c r="AU55" i="2" s="1"/>
  <c r="AV54" i="2" s="1"/>
  <c r="AW53" i="2" s="1"/>
  <c r="AX52" i="2" s="1"/>
  <c r="AY51" i="2" s="1"/>
  <c r="AZ50" i="2" s="1"/>
  <c r="BA49" i="2" s="1"/>
  <c r="BB48" i="2" s="1"/>
  <c r="BB49" i="2" s="1"/>
  <c r="BA48" i="2" s="1"/>
  <c r="AX141" i="2"/>
  <c r="AX139" i="2"/>
  <c r="AQ120" i="2"/>
  <c r="AQ118" i="2"/>
  <c r="AB178" i="2"/>
  <c r="AB176" i="2"/>
  <c r="AC175" i="2" s="1"/>
  <c r="AD174" i="2" s="1"/>
  <c r="AE173" i="2" s="1"/>
  <c r="AF172" i="2" s="1"/>
  <c r="AG171" i="2" s="1"/>
  <c r="AH170" i="2" s="1"/>
  <c r="AI169" i="2" s="1"/>
  <c r="AJ168" i="2" s="1"/>
  <c r="AK167" i="2" s="1"/>
  <c r="AL166" i="2" s="1"/>
  <c r="AM165" i="2" s="1"/>
  <c r="AN164" i="2" s="1"/>
  <c r="AO163" i="2" s="1"/>
  <c r="AP162" i="2" s="1"/>
  <c r="AQ161" i="2" s="1"/>
  <c r="AR160" i="2" s="1"/>
  <c r="AS159" i="2" s="1"/>
  <c r="AT158" i="2" s="1"/>
  <c r="AU157" i="2" s="1"/>
  <c r="AV156" i="2" s="1"/>
  <c r="AW155" i="2" s="1"/>
  <c r="AX154" i="2" s="1"/>
  <c r="AY153" i="2" s="1"/>
  <c r="AZ152" i="2" s="1"/>
  <c r="BA151" i="2" s="1"/>
  <c r="BB150" i="2" s="1"/>
  <c r="BB151" i="2" s="1"/>
  <c r="BA150" i="2" s="1"/>
  <c r="BA148" i="2"/>
  <c r="BD89" i="2" l="1"/>
  <c r="BD190" i="2"/>
  <c r="BD126" i="2"/>
  <c r="AW142" i="2"/>
  <c r="DF125" i="2"/>
  <c r="DE125" i="2" a="1"/>
  <c r="DE125" i="2" s="1"/>
  <c r="DG125" i="2"/>
  <c r="DD25" i="2"/>
  <c r="DC25" i="2" s="1"/>
  <c r="DG24" i="2"/>
  <c r="DF24" i="2"/>
  <c r="DJ24" i="2"/>
  <c r="DE24" i="2" a="1"/>
  <c r="DE24" i="2" s="1"/>
  <c r="DH24" i="2" s="1"/>
  <c r="DD126" i="2"/>
  <c r="DC125" i="2"/>
  <c r="AZ149" i="2"/>
  <c r="AZ147" i="2"/>
  <c r="AC75" i="2"/>
  <c r="AD74" i="2" s="1"/>
  <c r="AE73" i="2" s="1"/>
  <c r="AF72" i="2" s="1"/>
  <c r="AG71" i="2" s="1"/>
  <c r="AH70" i="2" s="1"/>
  <c r="AI69" i="2" s="1"/>
  <c r="AJ68" i="2" s="1"/>
  <c r="AK67" i="2" s="1"/>
  <c r="AL66" i="2" s="1"/>
  <c r="AM65" i="2" s="1"/>
  <c r="AN64" i="2" s="1"/>
  <c r="AO63" i="2" s="1"/>
  <c r="AP62" i="2" s="1"/>
  <c r="AQ61" i="2" s="1"/>
  <c r="AR60" i="2" s="1"/>
  <c r="AS59" i="2" s="1"/>
  <c r="AT58" i="2" s="1"/>
  <c r="AU57" i="2" s="1"/>
  <c r="AV56" i="2" s="1"/>
  <c r="AW55" i="2" s="1"/>
  <c r="AX54" i="2" s="1"/>
  <c r="AY53" i="2" s="1"/>
  <c r="AZ52" i="2" s="1"/>
  <c r="BA51" i="2" s="1"/>
  <c r="BB50" i="2" s="1"/>
  <c r="BB51" i="2" s="1"/>
  <c r="BA50" i="2" s="1"/>
  <c r="AC77" i="2"/>
  <c r="AT133" i="2"/>
  <c r="AS26" i="2"/>
  <c r="AR27" i="2" s="1"/>
  <c r="AS24" i="2"/>
  <c r="AV35" i="2"/>
  <c r="AV33" i="2"/>
  <c r="AW140" i="2"/>
  <c r="AV141" i="2" s="1"/>
  <c r="AW138" i="2"/>
  <c r="AZ45" i="2"/>
  <c r="AZ47" i="2"/>
  <c r="AR125" i="2"/>
  <c r="AQ126" i="2" s="1"/>
  <c r="AP127" i="2" s="1"/>
  <c r="AR123" i="2"/>
  <c r="AC177" i="2"/>
  <c r="AD176" i="2" s="1"/>
  <c r="AE175" i="2" s="1"/>
  <c r="AF174" i="2" s="1"/>
  <c r="AG173" i="2" s="1"/>
  <c r="AH172" i="2" s="1"/>
  <c r="AI171" i="2" s="1"/>
  <c r="AJ170" i="2" s="1"/>
  <c r="AK169" i="2" s="1"/>
  <c r="AL168" i="2" s="1"/>
  <c r="AM167" i="2" s="1"/>
  <c r="AN166" i="2" s="1"/>
  <c r="AO165" i="2" s="1"/>
  <c r="AP164" i="2" s="1"/>
  <c r="AQ163" i="2" s="1"/>
  <c r="AR162" i="2" s="1"/>
  <c r="AS161" i="2" s="1"/>
  <c r="AT160" i="2" s="1"/>
  <c r="AU159" i="2" s="1"/>
  <c r="AV158" i="2" s="1"/>
  <c r="AW157" i="2" s="1"/>
  <c r="AX156" i="2" s="1"/>
  <c r="AY155" i="2" s="1"/>
  <c r="AZ154" i="2" s="1"/>
  <c r="BA153" i="2" s="1"/>
  <c r="BB152" i="2" s="1"/>
  <c r="BB153" i="2" s="1"/>
  <c r="AC179" i="2"/>
  <c r="AW40" i="2"/>
  <c r="AV39" i="2" s="1"/>
  <c r="AP119" i="2"/>
  <c r="AP117" i="2"/>
  <c r="AV37" i="2"/>
  <c r="DH125" i="2" l="1"/>
  <c r="AO118" i="2"/>
  <c r="BD90" i="2"/>
  <c r="BD191" i="2"/>
  <c r="BD127" i="2"/>
  <c r="DF126" i="2"/>
  <c r="DG126" i="2"/>
  <c r="DE126" i="2" a="1"/>
  <c r="DE126" i="2" s="1"/>
  <c r="DD26" i="2"/>
  <c r="DC26" i="2" s="1"/>
  <c r="DF25" i="2"/>
  <c r="DG25" i="2"/>
  <c r="DD127" i="2"/>
  <c r="DC126" i="2"/>
  <c r="DJ25" i="2"/>
  <c r="DE25" i="2" a="1"/>
  <c r="DE25" i="2" s="1"/>
  <c r="DH25" i="2" s="1"/>
  <c r="AS132" i="2"/>
  <c r="AU34" i="2"/>
  <c r="AU32" i="2"/>
  <c r="AU38" i="2"/>
  <c r="AD76" i="2"/>
  <c r="AE75" i="2" s="1"/>
  <c r="AF74" i="2" s="1"/>
  <c r="AG73" i="2" s="1"/>
  <c r="AH72" i="2" s="1"/>
  <c r="AI71" i="2" s="1"/>
  <c r="AJ70" i="2" s="1"/>
  <c r="AK69" i="2" s="1"/>
  <c r="AL68" i="2" s="1"/>
  <c r="AM67" i="2" s="1"/>
  <c r="AN66" i="2" s="1"/>
  <c r="AO65" i="2" s="1"/>
  <c r="AP64" i="2" s="1"/>
  <c r="AQ63" i="2" s="1"/>
  <c r="AR62" i="2" s="1"/>
  <c r="AS61" i="2" s="1"/>
  <c r="AT60" i="2" s="1"/>
  <c r="AU59" i="2" s="1"/>
  <c r="AV58" i="2" s="1"/>
  <c r="AW57" i="2" s="1"/>
  <c r="AX56" i="2" s="1"/>
  <c r="AY55" i="2" s="1"/>
  <c r="AZ54" i="2" s="1"/>
  <c r="BA53" i="2" s="1"/>
  <c r="BB52" i="2" s="1"/>
  <c r="BB53" i="2" s="1"/>
  <c r="AD78" i="2"/>
  <c r="AY148" i="2"/>
  <c r="AY146" i="2"/>
  <c r="AR23" i="2"/>
  <c r="AR25" i="2"/>
  <c r="AQ26" i="2" s="1"/>
  <c r="BA152" i="2"/>
  <c r="AY46" i="2"/>
  <c r="AY44" i="2"/>
  <c r="AU36" i="2"/>
  <c r="AT37" i="2" s="1"/>
  <c r="AQ124" i="2"/>
  <c r="AP125" i="2" s="1"/>
  <c r="AO126" i="2" s="1"/>
  <c r="AQ122" i="2"/>
  <c r="AD180" i="2"/>
  <c r="AD178" i="2"/>
  <c r="AE177" i="2" s="1"/>
  <c r="AF176" i="2" s="1"/>
  <c r="AG175" i="2" s="1"/>
  <c r="AH174" i="2" s="1"/>
  <c r="AI173" i="2" s="1"/>
  <c r="AJ172" i="2" s="1"/>
  <c r="AK171" i="2" s="1"/>
  <c r="AL170" i="2" s="1"/>
  <c r="AM169" i="2" s="1"/>
  <c r="AN168" i="2" s="1"/>
  <c r="AO167" i="2" s="1"/>
  <c r="AP166" i="2" s="1"/>
  <c r="AQ165" i="2" s="1"/>
  <c r="AR164" i="2" s="1"/>
  <c r="AS163" i="2" s="1"/>
  <c r="AT162" i="2" s="1"/>
  <c r="AU161" i="2" s="1"/>
  <c r="AV160" i="2" s="1"/>
  <c r="AW159" i="2" s="1"/>
  <c r="AX158" i="2" s="1"/>
  <c r="AY157" i="2" s="1"/>
  <c r="AZ156" i="2" s="1"/>
  <c r="BA155" i="2" s="1"/>
  <c r="BB154" i="2" s="1"/>
  <c r="BB155" i="2" s="1"/>
  <c r="AV139" i="2"/>
  <c r="AU140" i="2" s="1"/>
  <c r="AV137" i="2"/>
  <c r="AZ49" i="2"/>
  <c r="DH126" i="2" l="1"/>
  <c r="F17" i="2"/>
  <c r="BD192" i="2"/>
  <c r="BD128" i="2"/>
  <c r="DE127" i="2" a="1"/>
  <c r="DE127" i="2" s="1"/>
  <c r="DG127" i="2"/>
  <c r="DF127" i="2"/>
  <c r="DD27" i="2"/>
  <c r="DC27" i="2" s="1"/>
  <c r="DG26" i="2"/>
  <c r="DF26" i="2"/>
  <c r="DJ26" i="2"/>
  <c r="DE26" i="2" a="1"/>
  <c r="DE26" i="2" s="1"/>
  <c r="DD128" i="2"/>
  <c r="DC127" i="2"/>
  <c r="AX45" i="2"/>
  <c r="AX43" i="2"/>
  <c r="AT35" i="2"/>
  <c r="AS36" i="2" s="1"/>
  <c r="AT33" i="2"/>
  <c r="AS34" i="2" s="1"/>
  <c r="AR35" i="2" s="1"/>
  <c r="AT31" i="2"/>
  <c r="AX147" i="2"/>
  <c r="AX145" i="2"/>
  <c r="AR131" i="2"/>
  <c r="AU138" i="2"/>
  <c r="AT139" i="2" s="1"/>
  <c r="AU136" i="2"/>
  <c r="BA154" i="2"/>
  <c r="AZ153" i="2" s="1"/>
  <c r="AP123" i="2"/>
  <c r="AO124" i="2" s="1"/>
  <c r="AN125" i="2" s="1"/>
  <c r="AP121" i="2"/>
  <c r="AZ151" i="2"/>
  <c r="BA52" i="2"/>
  <c r="AZ51" i="2" s="1"/>
  <c r="AQ24" i="2"/>
  <c r="AP25" i="2" s="1"/>
  <c r="AQ22" i="2"/>
  <c r="AE181" i="2"/>
  <c r="AE179" i="2"/>
  <c r="AF178" i="2" s="1"/>
  <c r="AG177" i="2" s="1"/>
  <c r="AH176" i="2" s="1"/>
  <c r="AI175" i="2" s="1"/>
  <c r="AJ174" i="2" s="1"/>
  <c r="AK173" i="2" s="1"/>
  <c r="AL172" i="2" s="1"/>
  <c r="AM171" i="2" s="1"/>
  <c r="AN170" i="2" s="1"/>
  <c r="AO169" i="2" s="1"/>
  <c r="AP168" i="2" s="1"/>
  <c r="AQ167" i="2" s="1"/>
  <c r="AR166" i="2" s="1"/>
  <c r="AS165" i="2" s="1"/>
  <c r="AT164" i="2" s="1"/>
  <c r="AU163" i="2" s="1"/>
  <c r="AV162" i="2" s="1"/>
  <c r="AW161" i="2" s="1"/>
  <c r="AX160" i="2" s="1"/>
  <c r="AY159" i="2" s="1"/>
  <c r="AZ158" i="2" s="1"/>
  <c r="BA157" i="2" s="1"/>
  <c r="BB156" i="2" s="1"/>
  <c r="BB157" i="2" s="1"/>
  <c r="AY48" i="2"/>
  <c r="AE79" i="2"/>
  <c r="AE77" i="2"/>
  <c r="AF76" i="2" s="1"/>
  <c r="AG75" i="2" s="1"/>
  <c r="AH74" i="2" s="1"/>
  <c r="AI73" i="2" s="1"/>
  <c r="AJ72" i="2" s="1"/>
  <c r="AK71" i="2" s="1"/>
  <c r="AL70" i="2" s="1"/>
  <c r="AM69" i="2" s="1"/>
  <c r="AN68" i="2" s="1"/>
  <c r="AO67" i="2" s="1"/>
  <c r="AP66" i="2" s="1"/>
  <c r="AQ65" i="2" s="1"/>
  <c r="AR64" i="2" s="1"/>
  <c r="AS63" i="2" s="1"/>
  <c r="AT62" i="2" s="1"/>
  <c r="AU61" i="2" s="1"/>
  <c r="AV60" i="2" s="1"/>
  <c r="AW59" i="2" s="1"/>
  <c r="AX58" i="2" s="1"/>
  <c r="AY57" i="2" s="1"/>
  <c r="AZ56" i="2" s="1"/>
  <c r="BA55" i="2" s="1"/>
  <c r="BB54" i="2" s="1"/>
  <c r="BB55" i="2" s="1"/>
  <c r="BA54" i="2" s="1"/>
  <c r="DH127" i="2" l="1"/>
  <c r="DH26" i="2"/>
  <c r="BD129" i="2"/>
  <c r="DE128" i="2" a="1"/>
  <c r="DE128" i="2" s="1"/>
  <c r="DH128" i="2" s="1"/>
  <c r="DF128" i="2"/>
  <c r="DG128" i="2"/>
  <c r="DD28" i="2"/>
  <c r="DC28" i="2" s="1"/>
  <c r="DF27" i="2"/>
  <c r="DG27" i="2"/>
  <c r="DD129" i="2"/>
  <c r="DC128" i="2"/>
  <c r="DJ27" i="2"/>
  <c r="DE27" i="2" a="1"/>
  <c r="DE27" i="2" s="1"/>
  <c r="DH27" i="2" s="1"/>
  <c r="AZ53" i="2"/>
  <c r="AY52" i="2" s="1"/>
  <c r="AY152" i="2"/>
  <c r="AY150" i="2"/>
  <c r="AT137" i="2"/>
  <c r="AS138" i="2" s="1"/>
  <c r="AT135" i="2"/>
  <c r="AF182" i="2"/>
  <c r="AF180" i="2"/>
  <c r="AG179" i="2" s="1"/>
  <c r="AH178" i="2" s="1"/>
  <c r="AI177" i="2" s="1"/>
  <c r="AJ176" i="2" s="1"/>
  <c r="AK175" i="2" s="1"/>
  <c r="AL174" i="2" s="1"/>
  <c r="AM173" i="2" s="1"/>
  <c r="AN172" i="2" s="1"/>
  <c r="AO171" i="2" s="1"/>
  <c r="AP170" i="2" s="1"/>
  <c r="AQ169" i="2" s="1"/>
  <c r="AR168" i="2" s="1"/>
  <c r="AS167" i="2" s="1"/>
  <c r="AT166" i="2" s="1"/>
  <c r="AU165" i="2" s="1"/>
  <c r="AV164" i="2" s="1"/>
  <c r="AW163" i="2" s="1"/>
  <c r="AX162" i="2" s="1"/>
  <c r="AY161" i="2" s="1"/>
  <c r="AZ160" i="2" s="1"/>
  <c r="BA159" i="2" s="1"/>
  <c r="BB158" i="2" s="1"/>
  <c r="BB159" i="2" s="1"/>
  <c r="BA158" i="2" s="1"/>
  <c r="BA156" i="2"/>
  <c r="AZ155" i="2" s="1"/>
  <c r="AS32" i="2"/>
  <c r="AR33" i="2" s="1"/>
  <c r="AQ34" i="2" s="1"/>
  <c r="AS30" i="2"/>
  <c r="AY50" i="2"/>
  <c r="AX49" i="2" s="1"/>
  <c r="AO122" i="2"/>
  <c r="AN123" i="2" s="1"/>
  <c r="AM124" i="2" s="1"/>
  <c r="AO120" i="2"/>
  <c r="AP21" i="2"/>
  <c r="AP23" i="2"/>
  <c r="AO24" i="2" s="1"/>
  <c r="AQ130" i="2"/>
  <c r="AW44" i="2"/>
  <c r="AW42" i="2"/>
  <c r="AF78" i="2"/>
  <c r="AG77" i="2" s="1"/>
  <c r="AH76" i="2" s="1"/>
  <c r="AI75" i="2" s="1"/>
  <c r="AJ74" i="2" s="1"/>
  <c r="AK73" i="2" s="1"/>
  <c r="AL72" i="2" s="1"/>
  <c r="AM71" i="2" s="1"/>
  <c r="AN70" i="2" s="1"/>
  <c r="AO69" i="2" s="1"/>
  <c r="AP68" i="2" s="1"/>
  <c r="AQ67" i="2" s="1"/>
  <c r="AR66" i="2" s="1"/>
  <c r="AS65" i="2" s="1"/>
  <c r="AT64" i="2" s="1"/>
  <c r="AU63" i="2" s="1"/>
  <c r="AV62" i="2" s="1"/>
  <c r="AW61" i="2" s="1"/>
  <c r="AX60" i="2" s="1"/>
  <c r="AY59" i="2" s="1"/>
  <c r="AZ58" i="2" s="1"/>
  <c r="BA57" i="2" s="1"/>
  <c r="BB56" i="2" s="1"/>
  <c r="BB57" i="2" s="1"/>
  <c r="BA56" i="2" s="1"/>
  <c r="AZ55" i="2" s="1"/>
  <c r="AF80" i="2"/>
  <c r="AX47" i="2"/>
  <c r="AW46" i="2" s="1"/>
  <c r="AW146" i="2"/>
  <c r="AW144" i="2"/>
  <c r="BD130" i="2" l="1"/>
  <c r="DE129" i="2" a="1"/>
  <c r="DE129" i="2" s="1"/>
  <c r="DH129" i="2" s="1"/>
  <c r="DF129" i="2"/>
  <c r="DG129" i="2"/>
  <c r="DD29" i="2"/>
  <c r="DC29" i="2" s="1"/>
  <c r="DF28" i="2"/>
  <c r="DG28" i="2"/>
  <c r="DJ28" i="2"/>
  <c r="DE28" i="2" a="1"/>
  <c r="DE28" i="2" s="1"/>
  <c r="DD130" i="2"/>
  <c r="DC129" i="2"/>
  <c r="AY154" i="2"/>
  <c r="AX153" i="2" s="1"/>
  <c r="AX151" i="2"/>
  <c r="AX149" i="2"/>
  <c r="AW48" i="2"/>
  <c r="AN121" i="2"/>
  <c r="AM122" i="2" s="1"/>
  <c r="AL123" i="2" s="1"/>
  <c r="AN119" i="2"/>
  <c r="AG183" i="2"/>
  <c r="AG181" i="2"/>
  <c r="AH180" i="2" s="1"/>
  <c r="AI179" i="2" s="1"/>
  <c r="AJ178" i="2" s="1"/>
  <c r="AK177" i="2" s="1"/>
  <c r="AL176" i="2" s="1"/>
  <c r="AM175" i="2" s="1"/>
  <c r="AN174" i="2" s="1"/>
  <c r="AO173" i="2" s="1"/>
  <c r="AP172" i="2" s="1"/>
  <c r="AQ171" i="2" s="1"/>
  <c r="AR170" i="2" s="1"/>
  <c r="AS169" i="2" s="1"/>
  <c r="AT168" i="2" s="1"/>
  <c r="AU167" i="2" s="1"/>
  <c r="AV166" i="2" s="1"/>
  <c r="AW165" i="2" s="1"/>
  <c r="AX164" i="2" s="1"/>
  <c r="AY163" i="2" s="1"/>
  <c r="AZ162" i="2" s="1"/>
  <c r="BA161" i="2" s="1"/>
  <c r="BB160" i="2" s="1"/>
  <c r="BB161" i="2" s="1"/>
  <c r="AG79" i="2"/>
  <c r="AH78" i="2" s="1"/>
  <c r="AI77" i="2" s="1"/>
  <c r="AJ76" i="2" s="1"/>
  <c r="AK75" i="2" s="1"/>
  <c r="AL74" i="2" s="1"/>
  <c r="AM73" i="2" s="1"/>
  <c r="AN72" i="2" s="1"/>
  <c r="AO71" i="2" s="1"/>
  <c r="AP70" i="2" s="1"/>
  <c r="AQ69" i="2" s="1"/>
  <c r="AR68" i="2" s="1"/>
  <c r="AS67" i="2" s="1"/>
  <c r="AT66" i="2" s="1"/>
  <c r="AU65" i="2" s="1"/>
  <c r="AV64" i="2" s="1"/>
  <c r="AW63" i="2" s="1"/>
  <c r="AX62" i="2" s="1"/>
  <c r="AY61" i="2" s="1"/>
  <c r="AZ60" i="2" s="1"/>
  <c r="BA59" i="2" s="1"/>
  <c r="BB58" i="2" s="1"/>
  <c r="BB59" i="2" s="1"/>
  <c r="BA58" i="2" s="1"/>
  <c r="AG81" i="2"/>
  <c r="AV43" i="2"/>
  <c r="AV41" i="2"/>
  <c r="AV45" i="2"/>
  <c r="AX51" i="2"/>
  <c r="AW50" i="2" s="1"/>
  <c r="AS136" i="2"/>
  <c r="AR137" i="2" s="1"/>
  <c r="AS134" i="2"/>
  <c r="AV145" i="2"/>
  <c r="AV143" i="2"/>
  <c r="AZ157" i="2"/>
  <c r="AO22" i="2"/>
  <c r="AN23" i="2" s="1"/>
  <c r="AO20" i="2"/>
  <c r="AP129" i="2"/>
  <c r="AR31" i="2"/>
  <c r="AQ32" i="2" s="1"/>
  <c r="AP33" i="2" s="1"/>
  <c r="AR29" i="2"/>
  <c r="AY54" i="2"/>
  <c r="DH28" i="2" l="1"/>
  <c r="BD131" i="2"/>
  <c r="DF130" i="2"/>
  <c r="DG130" i="2"/>
  <c r="DE130" i="2" a="1"/>
  <c r="DE130" i="2" s="1"/>
  <c r="DH130" i="2" s="1"/>
  <c r="DD30" i="2"/>
  <c r="DC30" i="2" s="1"/>
  <c r="DG29" i="2"/>
  <c r="DF29" i="2"/>
  <c r="DD131" i="2"/>
  <c r="DC130" i="2"/>
  <c r="DJ29" i="2"/>
  <c r="DE29" i="2" a="1"/>
  <c r="DE29" i="2" s="1"/>
  <c r="DH29" i="2" s="1"/>
  <c r="AM120" i="2"/>
  <c r="AL121" i="2" s="1"/>
  <c r="AK122" i="2" s="1"/>
  <c r="AU44" i="2"/>
  <c r="AW152" i="2"/>
  <c r="AZ57" i="2"/>
  <c r="AH182" i="2"/>
  <c r="AI181" i="2" s="1"/>
  <c r="AJ180" i="2" s="1"/>
  <c r="AK179" i="2" s="1"/>
  <c r="AL178" i="2" s="1"/>
  <c r="AM177" i="2" s="1"/>
  <c r="AN176" i="2" s="1"/>
  <c r="AO175" i="2" s="1"/>
  <c r="AP174" i="2" s="1"/>
  <c r="AQ173" i="2" s="1"/>
  <c r="AR172" i="2" s="1"/>
  <c r="AS171" i="2" s="1"/>
  <c r="AT170" i="2" s="1"/>
  <c r="AU169" i="2" s="1"/>
  <c r="AV168" i="2" s="1"/>
  <c r="AW167" i="2" s="1"/>
  <c r="AX166" i="2" s="1"/>
  <c r="AY165" i="2" s="1"/>
  <c r="AZ164" i="2" s="1"/>
  <c r="BA163" i="2" s="1"/>
  <c r="BB162" i="2" s="1"/>
  <c r="BB163" i="2" s="1"/>
  <c r="BA162" i="2" s="1"/>
  <c r="AH184" i="2"/>
  <c r="AX53" i="2"/>
  <c r="AR135" i="2"/>
  <c r="AQ136" i="2" s="1"/>
  <c r="AR133" i="2"/>
  <c r="AH80" i="2"/>
  <c r="AI79" i="2" s="1"/>
  <c r="AJ78" i="2" s="1"/>
  <c r="AK77" i="2" s="1"/>
  <c r="AL76" i="2" s="1"/>
  <c r="AM75" i="2" s="1"/>
  <c r="AN74" i="2" s="1"/>
  <c r="AO73" i="2" s="1"/>
  <c r="AP72" i="2" s="1"/>
  <c r="AQ71" i="2" s="1"/>
  <c r="AR70" i="2" s="1"/>
  <c r="AS69" i="2" s="1"/>
  <c r="AT68" i="2" s="1"/>
  <c r="AU67" i="2" s="1"/>
  <c r="AV66" i="2" s="1"/>
  <c r="AW65" i="2" s="1"/>
  <c r="AX64" i="2" s="1"/>
  <c r="AY63" i="2" s="1"/>
  <c r="AZ62" i="2" s="1"/>
  <c r="BA61" i="2" s="1"/>
  <c r="BB60" i="2" s="1"/>
  <c r="BB61" i="2" s="1"/>
  <c r="AH82" i="2"/>
  <c r="AV49" i="2"/>
  <c r="AU144" i="2"/>
  <c r="AU142" i="2"/>
  <c r="AQ30" i="2"/>
  <c r="AP31" i="2" s="1"/>
  <c r="AO32" i="2" s="1"/>
  <c r="AQ28" i="2"/>
  <c r="AV47" i="2"/>
  <c r="AU46" i="2" s="1"/>
  <c r="AY156" i="2"/>
  <c r="AX155" i="2" s="1"/>
  <c r="BA160" i="2"/>
  <c r="AU42" i="2"/>
  <c r="AT43" i="2" s="1"/>
  <c r="AU40" i="2"/>
  <c r="AO128" i="2"/>
  <c r="AN21" i="2"/>
  <c r="AM22" i="2" s="1"/>
  <c r="AN19" i="2"/>
  <c r="AW150" i="2"/>
  <c r="AV151" i="2" s="1"/>
  <c r="AW148" i="2"/>
  <c r="BD132" i="2" l="1"/>
  <c r="DG131" i="2"/>
  <c r="DE131" i="2" a="1"/>
  <c r="DE131" i="2" s="1"/>
  <c r="DF131" i="2"/>
  <c r="DD31" i="2"/>
  <c r="DC31" i="2" s="1"/>
  <c r="DG30" i="2"/>
  <c r="DF30" i="2"/>
  <c r="DJ30" i="2"/>
  <c r="DE30" i="2" a="1"/>
  <c r="DE30" i="2" s="1"/>
  <c r="DD132" i="2"/>
  <c r="DC131" i="2"/>
  <c r="AU48" i="2"/>
  <c r="AT47" i="2" s="1"/>
  <c r="AW154" i="2"/>
  <c r="BA60" i="2"/>
  <c r="AT143" i="2"/>
  <c r="AT141" i="2"/>
  <c r="AQ134" i="2"/>
  <c r="AP135" i="2" s="1"/>
  <c r="AQ132" i="2"/>
  <c r="AI185" i="2"/>
  <c r="AI183" i="2"/>
  <c r="AJ182" i="2" s="1"/>
  <c r="AK181" i="2" s="1"/>
  <c r="AL180" i="2" s="1"/>
  <c r="AM179" i="2" s="1"/>
  <c r="AN178" i="2" s="1"/>
  <c r="AO177" i="2" s="1"/>
  <c r="AP176" i="2" s="1"/>
  <c r="AQ175" i="2" s="1"/>
  <c r="AR174" i="2" s="1"/>
  <c r="AS173" i="2" s="1"/>
  <c r="AT172" i="2" s="1"/>
  <c r="AU171" i="2" s="1"/>
  <c r="AV170" i="2" s="1"/>
  <c r="AW169" i="2" s="1"/>
  <c r="AX168" i="2" s="1"/>
  <c r="AY167" i="2" s="1"/>
  <c r="AZ166" i="2" s="1"/>
  <c r="BA165" i="2" s="1"/>
  <c r="BB164" i="2" s="1"/>
  <c r="BB165" i="2" s="1"/>
  <c r="BA164" i="2" s="1"/>
  <c r="AN127" i="2"/>
  <c r="AZ161" i="2"/>
  <c r="AZ159" i="2"/>
  <c r="AW52" i="2"/>
  <c r="AM18" i="2"/>
  <c r="AM20" i="2"/>
  <c r="AL21" i="2" s="1"/>
  <c r="AT45" i="2"/>
  <c r="AS44" i="2"/>
  <c r="AV149" i="2"/>
  <c r="AU150" i="2" s="1"/>
  <c r="AV147" i="2"/>
  <c r="AT41" i="2"/>
  <c r="AS42" i="2" s="1"/>
  <c r="AT39" i="2"/>
  <c r="AP29" i="2"/>
  <c r="AO30" i="2" s="1"/>
  <c r="AN31" i="2" s="1"/>
  <c r="AP27" i="2"/>
  <c r="AI81" i="2"/>
  <c r="AJ80" i="2" s="1"/>
  <c r="AK79" i="2" s="1"/>
  <c r="AL78" i="2" s="1"/>
  <c r="AM77" i="2" s="1"/>
  <c r="AN76" i="2" s="1"/>
  <c r="AO75" i="2" s="1"/>
  <c r="AP74" i="2" s="1"/>
  <c r="AQ73" i="2" s="1"/>
  <c r="AR72" i="2" s="1"/>
  <c r="AS71" i="2" s="1"/>
  <c r="AT70" i="2" s="1"/>
  <c r="AU69" i="2" s="1"/>
  <c r="AV68" i="2" s="1"/>
  <c r="AW67" i="2" s="1"/>
  <c r="AX66" i="2" s="1"/>
  <c r="AY65" i="2" s="1"/>
  <c r="AZ64" i="2" s="1"/>
  <c r="BA63" i="2" s="1"/>
  <c r="BB62" i="2" s="1"/>
  <c r="BB63" i="2" s="1"/>
  <c r="BA62" i="2" s="1"/>
  <c r="AI83" i="2"/>
  <c r="AY56" i="2"/>
  <c r="AX55" i="2" s="1"/>
  <c r="AW54" i="2" s="1"/>
  <c r="DH131" i="2" l="1"/>
  <c r="DH30" i="2"/>
  <c r="BD133" i="2"/>
  <c r="DE132" i="2" a="1"/>
  <c r="DE132" i="2" s="1"/>
  <c r="DH132" i="2" s="1"/>
  <c r="DF132" i="2"/>
  <c r="DG132" i="2"/>
  <c r="DD32" i="2"/>
  <c r="DC32" i="2" s="1"/>
  <c r="DG31" i="2"/>
  <c r="DF31" i="2"/>
  <c r="DD133" i="2"/>
  <c r="DC132" i="2"/>
  <c r="DJ31" i="2"/>
  <c r="DE31" i="2" a="1"/>
  <c r="DE31" i="2" s="1"/>
  <c r="DH31" i="2" s="1"/>
  <c r="AS46" i="2"/>
  <c r="AR45" i="2" s="1"/>
  <c r="AR43" i="2"/>
  <c r="AZ163" i="2"/>
  <c r="AY162" i="2" s="1"/>
  <c r="AJ82" i="2"/>
  <c r="AK81" i="2" s="1"/>
  <c r="AL80" i="2" s="1"/>
  <c r="AM79" i="2" s="1"/>
  <c r="AN78" i="2" s="1"/>
  <c r="AO77" i="2" s="1"/>
  <c r="AP76" i="2" s="1"/>
  <c r="AQ75" i="2" s="1"/>
  <c r="AR74" i="2" s="1"/>
  <c r="AS73" i="2" s="1"/>
  <c r="AT72" i="2" s="1"/>
  <c r="AU71" i="2" s="1"/>
  <c r="AV70" i="2" s="1"/>
  <c r="AW69" i="2" s="1"/>
  <c r="AX68" i="2" s="1"/>
  <c r="AY67" i="2" s="1"/>
  <c r="AZ66" i="2" s="1"/>
  <c r="BA65" i="2" s="1"/>
  <c r="BB64" i="2" s="1"/>
  <c r="BB65" i="2" s="1"/>
  <c r="BA64" i="2" s="1"/>
  <c r="AZ63" i="2" s="1"/>
  <c r="AJ84" i="2"/>
  <c r="AV53" i="2"/>
  <c r="AV51" i="2"/>
  <c r="AS142" i="2"/>
  <c r="AS140" i="2"/>
  <c r="AJ186" i="2"/>
  <c r="AJ184" i="2"/>
  <c r="AK183" i="2" s="1"/>
  <c r="AL182" i="2" s="1"/>
  <c r="AM181" i="2" s="1"/>
  <c r="AN180" i="2" s="1"/>
  <c r="AO179" i="2" s="1"/>
  <c r="AP178" i="2" s="1"/>
  <c r="AQ177" i="2" s="1"/>
  <c r="AR176" i="2" s="1"/>
  <c r="AS175" i="2" s="1"/>
  <c r="AT174" i="2" s="1"/>
  <c r="AU173" i="2" s="1"/>
  <c r="AV172" i="2" s="1"/>
  <c r="AW171" i="2" s="1"/>
  <c r="AX170" i="2" s="1"/>
  <c r="AY169" i="2" s="1"/>
  <c r="AZ168" i="2" s="1"/>
  <c r="BA167" i="2" s="1"/>
  <c r="BB166" i="2" s="1"/>
  <c r="BB167" i="2" s="1"/>
  <c r="AZ61" i="2"/>
  <c r="AZ59" i="2"/>
  <c r="AY58" i="2" s="1"/>
  <c r="AX57" i="2" s="1"/>
  <c r="AW56" i="2" s="1"/>
  <c r="AY160" i="2"/>
  <c r="AY158" i="2"/>
  <c r="AS40" i="2"/>
  <c r="AR41" i="2" s="1"/>
  <c r="AS38" i="2"/>
  <c r="AV153" i="2"/>
  <c r="AO28" i="2"/>
  <c r="AN29" i="2" s="1"/>
  <c r="AM30" i="2" s="1"/>
  <c r="AO26" i="2"/>
  <c r="AU148" i="2"/>
  <c r="AT149" i="2" s="1"/>
  <c r="AU146" i="2"/>
  <c r="AL19" i="2"/>
  <c r="AK20" i="2" s="1"/>
  <c r="AM126" i="2"/>
  <c r="AP133" i="2"/>
  <c r="AO134" i="2" s="1"/>
  <c r="AP131" i="2"/>
  <c r="BD134" i="2" l="1"/>
  <c r="DF133" i="2"/>
  <c r="DE133" i="2" a="1"/>
  <c r="DE133" i="2" s="1"/>
  <c r="DG133" i="2"/>
  <c r="DD33" i="2"/>
  <c r="DC33" i="2" s="1"/>
  <c r="DG32" i="2"/>
  <c r="DF32" i="2"/>
  <c r="DJ32" i="2"/>
  <c r="DE32" i="2" a="1"/>
  <c r="DE32" i="2" s="1"/>
  <c r="DD134" i="2"/>
  <c r="DC133" i="2"/>
  <c r="AQ42" i="2"/>
  <c r="AQ44" i="2"/>
  <c r="AP43" i="2" s="1"/>
  <c r="AR39" i="2"/>
  <c r="AR37" i="2"/>
  <c r="AQ36" i="2" s="1"/>
  <c r="AK187" i="2"/>
  <c r="AK185" i="2"/>
  <c r="AL184" i="2" s="1"/>
  <c r="AM183" i="2" s="1"/>
  <c r="AN182" i="2" s="1"/>
  <c r="AO181" i="2" s="1"/>
  <c r="AP180" i="2" s="1"/>
  <c r="AQ179" i="2" s="1"/>
  <c r="AR178" i="2" s="1"/>
  <c r="AS177" i="2" s="1"/>
  <c r="AT176" i="2" s="1"/>
  <c r="AU175" i="2" s="1"/>
  <c r="AV174" i="2" s="1"/>
  <c r="AW173" i="2" s="1"/>
  <c r="AX172" i="2" s="1"/>
  <c r="AY171" i="2" s="1"/>
  <c r="AZ170" i="2" s="1"/>
  <c r="BA169" i="2" s="1"/>
  <c r="BB168" i="2" s="1"/>
  <c r="BB169" i="2" s="1"/>
  <c r="BA168" i="2" s="1"/>
  <c r="AK83" i="2"/>
  <c r="AL82" i="2" s="1"/>
  <c r="AM81" i="2" s="1"/>
  <c r="AN80" i="2" s="1"/>
  <c r="AO79" i="2" s="1"/>
  <c r="AP78" i="2" s="1"/>
  <c r="AQ77" i="2" s="1"/>
  <c r="AR76" i="2" s="1"/>
  <c r="AS75" i="2" s="1"/>
  <c r="AT74" i="2" s="1"/>
  <c r="AU73" i="2" s="1"/>
  <c r="AV72" i="2" s="1"/>
  <c r="AW71" i="2" s="1"/>
  <c r="AX70" i="2" s="1"/>
  <c r="AY69" i="2" s="1"/>
  <c r="AZ68" i="2" s="1"/>
  <c r="BA67" i="2" s="1"/>
  <c r="BB66" i="2" s="1"/>
  <c r="BB67" i="2" s="1"/>
  <c r="BA66" i="2" s="1"/>
  <c r="AK85" i="2"/>
  <c r="AO132" i="2"/>
  <c r="AN133" i="2" s="1"/>
  <c r="AO130" i="2"/>
  <c r="AX159" i="2"/>
  <c r="AX157" i="2"/>
  <c r="AL125" i="2"/>
  <c r="AX161" i="2"/>
  <c r="AU152" i="2"/>
  <c r="AV55" i="2"/>
  <c r="AU54" i="2" s="1"/>
  <c r="AN27" i="2"/>
  <c r="AM28" i="2" s="1"/>
  <c r="AL29" i="2" s="1"/>
  <c r="AN25" i="2"/>
  <c r="AR141" i="2"/>
  <c r="AR139" i="2"/>
  <c r="AT147" i="2"/>
  <c r="AS148" i="2" s="1"/>
  <c r="AT145" i="2"/>
  <c r="AY60" i="2"/>
  <c r="AX59" i="2" s="1"/>
  <c r="AW58" i="2" s="1"/>
  <c r="AY62" i="2"/>
  <c r="BA166" i="2"/>
  <c r="AU52" i="2"/>
  <c r="AU50" i="2"/>
  <c r="DH133" i="2" l="1"/>
  <c r="DH32" i="2"/>
  <c r="BD135" i="2"/>
  <c r="DF134" i="2"/>
  <c r="DG134" i="2"/>
  <c r="DE134" i="2" a="1"/>
  <c r="DE134" i="2" s="1"/>
  <c r="DH134" i="2" s="1"/>
  <c r="DD34" i="2"/>
  <c r="DC34" i="2" s="1"/>
  <c r="DF33" i="2"/>
  <c r="DG33" i="2"/>
  <c r="DD135" i="2"/>
  <c r="DC134" i="2"/>
  <c r="DJ33" i="2"/>
  <c r="DE33" i="2" a="1"/>
  <c r="DE33" i="2" s="1"/>
  <c r="DH33" i="2" s="1"/>
  <c r="AW160" i="2"/>
  <c r="AV57" i="2"/>
  <c r="AU56" i="2" s="1"/>
  <c r="AW158" i="2"/>
  <c r="AW156" i="2"/>
  <c r="AS146" i="2"/>
  <c r="AR147" i="2" s="1"/>
  <c r="AS144" i="2"/>
  <c r="AT151" i="2"/>
  <c r="AN131" i="2"/>
  <c r="AM132" i="2" s="1"/>
  <c r="AN129" i="2"/>
  <c r="AL188" i="2"/>
  <c r="AL186" i="2"/>
  <c r="AM185" i="2" s="1"/>
  <c r="AN184" i="2" s="1"/>
  <c r="AO183" i="2" s="1"/>
  <c r="AP182" i="2" s="1"/>
  <c r="AQ181" i="2" s="1"/>
  <c r="AR180" i="2" s="1"/>
  <c r="AS179" i="2" s="1"/>
  <c r="AT178" i="2" s="1"/>
  <c r="AU177" i="2" s="1"/>
  <c r="AV176" i="2" s="1"/>
  <c r="AW175" i="2" s="1"/>
  <c r="AX174" i="2" s="1"/>
  <c r="AY173" i="2" s="1"/>
  <c r="AZ172" i="2" s="1"/>
  <c r="BA171" i="2" s="1"/>
  <c r="BB170" i="2" s="1"/>
  <c r="BB171" i="2" s="1"/>
  <c r="BA170" i="2" s="1"/>
  <c r="AZ169" i="2" s="1"/>
  <c r="AT51" i="2"/>
  <c r="AT49" i="2"/>
  <c r="AZ167" i="2"/>
  <c r="AZ165" i="2"/>
  <c r="AP35" i="2"/>
  <c r="AO34" i="2" s="1"/>
  <c r="AT53" i="2"/>
  <c r="AL86" i="2"/>
  <c r="AL84" i="2"/>
  <c r="AM83" i="2" s="1"/>
  <c r="AN82" i="2" s="1"/>
  <c r="AO81" i="2" s="1"/>
  <c r="AP80" i="2" s="1"/>
  <c r="AQ79" i="2" s="1"/>
  <c r="AR78" i="2" s="1"/>
  <c r="AS77" i="2" s="1"/>
  <c r="AT76" i="2" s="1"/>
  <c r="AU75" i="2" s="1"/>
  <c r="AV74" i="2" s="1"/>
  <c r="AW73" i="2" s="1"/>
  <c r="AX72" i="2" s="1"/>
  <c r="AY71" i="2" s="1"/>
  <c r="AZ70" i="2" s="1"/>
  <c r="BA69" i="2" s="1"/>
  <c r="BB68" i="2" s="1"/>
  <c r="BB69" i="2" s="1"/>
  <c r="AQ38" i="2"/>
  <c r="AP37" i="2" s="1"/>
  <c r="AQ40" i="2"/>
  <c r="AZ65" i="2"/>
  <c r="AQ140" i="2"/>
  <c r="AQ138" i="2"/>
  <c r="AK124" i="2"/>
  <c r="AX61" i="2"/>
  <c r="AM26" i="2"/>
  <c r="AL27" i="2" s="1"/>
  <c r="AK28" i="2" s="1"/>
  <c r="AM24" i="2"/>
  <c r="BD136" i="2" l="1"/>
  <c r="AV159" i="2"/>
  <c r="DE135" i="2" a="1"/>
  <c r="DE135" i="2" s="1"/>
  <c r="DF135" i="2"/>
  <c r="DG135" i="2"/>
  <c r="DD35" i="2"/>
  <c r="DC35" i="2" s="1"/>
  <c r="DG34" i="2"/>
  <c r="DF34" i="2"/>
  <c r="DJ34" i="2"/>
  <c r="DE34" i="2" a="1"/>
  <c r="DE34" i="2" s="1"/>
  <c r="DD136" i="2"/>
  <c r="DC135" i="2"/>
  <c r="AO36" i="2"/>
  <c r="AN35" i="2" s="1"/>
  <c r="AY64" i="2"/>
  <c r="AN33" i="2"/>
  <c r="AM189" i="2"/>
  <c r="AM187" i="2"/>
  <c r="AN186" i="2" s="1"/>
  <c r="AO185" i="2" s="1"/>
  <c r="AP184" i="2" s="1"/>
  <c r="AQ183" i="2" s="1"/>
  <c r="AR182" i="2" s="1"/>
  <c r="AS181" i="2" s="1"/>
  <c r="AT180" i="2" s="1"/>
  <c r="AU179" i="2" s="1"/>
  <c r="AV178" i="2" s="1"/>
  <c r="AW177" i="2" s="1"/>
  <c r="AX176" i="2" s="1"/>
  <c r="AY175" i="2" s="1"/>
  <c r="AZ174" i="2" s="1"/>
  <c r="BA173" i="2" s="1"/>
  <c r="BB172" i="2" s="1"/>
  <c r="BB173" i="2" s="1"/>
  <c r="AP39" i="2"/>
  <c r="AP41" i="2"/>
  <c r="AO42" i="2" s="1"/>
  <c r="AM130" i="2"/>
  <c r="AL131" i="2" s="1"/>
  <c r="AM128" i="2"/>
  <c r="AV157" i="2"/>
  <c r="AU158" i="2" s="1"/>
  <c r="AV155" i="2"/>
  <c r="AJ123" i="2"/>
  <c r="BA68" i="2"/>
  <c r="AZ67" i="2" s="1"/>
  <c r="AY164" i="2"/>
  <c r="AY166" i="2"/>
  <c r="AS150" i="2"/>
  <c r="AP139" i="2"/>
  <c r="AP137" i="2"/>
  <c r="AM85" i="2"/>
  <c r="AN84" i="2" s="1"/>
  <c r="AO83" i="2" s="1"/>
  <c r="AP82" i="2" s="1"/>
  <c r="AQ81" i="2" s="1"/>
  <c r="AR80" i="2" s="1"/>
  <c r="AS79" i="2" s="1"/>
  <c r="AT78" i="2" s="1"/>
  <c r="AU77" i="2" s="1"/>
  <c r="AV76" i="2" s="1"/>
  <c r="AW75" i="2" s="1"/>
  <c r="AX74" i="2" s="1"/>
  <c r="AY73" i="2" s="1"/>
  <c r="AZ72" i="2" s="1"/>
  <c r="BA71" i="2" s="1"/>
  <c r="BB70" i="2" s="1"/>
  <c r="BB71" i="2" s="1"/>
  <c r="BA70" i="2" s="1"/>
  <c r="AM87" i="2"/>
  <c r="AY168" i="2"/>
  <c r="AS50" i="2"/>
  <c r="AS48" i="2"/>
  <c r="AW60" i="2"/>
  <c r="AL25" i="2"/>
  <c r="AK26" i="2" s="1"/>
  <c r="AJ27" i="2" s="1"/>
  <c r="AL23" i="2"/>
  <c r="AS52" i="2"/>
  <c r="AR145" i="2"/>
  <c r="AQ146" i="2" s="1"/>
  <c r="AR143" i="2"/>
  <c r="AT55" i="2"/>
  <c r="AS54" i="2" s="1"/>
  <c r="DH135" i="2" l="1"/>
  <c r="DH34" i="2"/>
  <c r="BD137" i="2"/>
  <c r="DF136" i="2"/>
  <c r="DE136" i="2" a="1"/>
  <c r="DE136" i="2" s="1"/>
  <c r="DH136" i="2" s="1"/>
  <c r="DG136" i="2"/>
  <c r="DD36" i="2"/>
  <c r="DC36" i="2" s="1"/>
  <c r="DF35" i="2"/>
  <c r="DG35" i="2"/>
  <c r="DD137" i="2"/>
  <c r="DC136" i="2"/>
  <c r="DJ35" i="2"/>
  <c r="DE35" i="2" a="1"/>
  <c r="DE35" i="2" s="1"/>
  <c r="DH35" i="2" s="1"/>
  <c r="AO40" i="2"/>
  <c r="AN41" i="2" s="1"/>
  <c r="AZ69" i="2"/>
  <c r="AY68" i="2" s="1"/>
  <c r="AK24" i="2"/>
  <c r="AJ25" i="2" s="1"/>
  <c r="AI26" i="2" s="1"/>
  <c r="AK22" i="2"/>
  <c r="AN190" i="2"/>
  <c r="AN188" i="2"/>
  <c r="AO187" i="2" s="1"/>
  <c r="AP186" i="2" s="1"/>
  <c r="AQ185" i="2" s="1"/>
  <c r="AR184" i="2" s="1"/>
  <c r="AS183" i="2" s="1"/>
  <c r="AT182" i="2" s="1"/>
  <c r="AU181" i="2" s="1"/>
  <c r="AV180" i="2" s="1"/>
  <c r="AW179" i="2" s="1"/>
  <c r="AX178" i="2" s="1"/>
  <c r="AY177" i="2" s="1"/>
  <c r="AZ176" i="2" s="1"/>
  <c r="BA175" i="2" s="1"/>
  <c r="BB174" i="2" s="1"/>
  <c r="BB175" i="2" s="1"/>
  <c r="AX167" i="2"/>
  <c r="AU156" i="2"/>
  <c r="AT157" i="2" s="1"/>
  <c r="AU154" i="2"/>
  <c r="AM34" i="2"/>
  <c r="AM32" i="2"/>
  <c r="AN86" i="2"/>
  <c r="AO85" i="2" s="1"/>
  <c r="AP84" i="2" s="1"/>
  <c r="AQ83" i="2" s="1"/>
  <c r="AR82" i="2" s="1"/>
  <c r="AS81" i="2" s="1"/>
  <c r="AT80" i="2" s="1"/>
  <c r="AU79" i="2" s="1"/>
  <c r="AV78" i="2" s="1"/>
  <c r="AW77" i="2" s="1"/>
  <c r="AX76" i="2" s="1"/>
  <c r="AY75" i="2" s="1"/>
  <c r="AZ74" i="2" s="1"/>
  <c r="BA73" i="2" s="1"/>
  <c r="BB72" i="2" s="1"/>
  <c r="BB73" i="2" s="1"/>
  <c r="BA72" i="2" s="1"/>
  <c r="AZ71" i="2" s="1"/>
  <c r="AN88" i="2"/>
  <c r="AX165" i="2"/>
  <c r="AW166" i="2" s="1"/>
  <c r="AX163" i="2"/>
  <c r="AL129" i="2"/>
  <c r="AK130" i="2" s="1"/>
  <c r="AL127" i="2"/>
  <c r="AX63" i="2"/>
  <c r="AQ144" i="2"/>
  <c r="AP145" i="2" s="1"/>
  <c r="AQ142" i="2"/>
  <c r="AO138" i="2"/>
  <c r="AO136" i="2"/>
  <c r="AY66" i="2"/>
  <c r="AR49" i="2"/>
  <c r="AR47" i="2"/>
  <c r="AV59" i="2"/>
  <c r="AU58" i="2" s="1"/>
  <c r="AR53" i="2"/>
  <c r="AR51" i="2"/>
  <c r="AO38" i="2"/>
  <c r="AR149" i="2"/>
  <c r="BA172" i="2"/>
  <c r="BD138" i="2" l="1"/>
  <c r="AN39" i="2"/>
  <c r="DE137" i="2" a="1"/>
  <c r="DE137" i="2" s="1"/>
  <c r="DH137" i="2" s="1"/>
  <c r="DF137" i="2"/>
  <c r="DG137" i="2"/>
  <c r="DD37" i="2"/>
  <c r="DC37" i="2" s="1"/>
  <c r="DF36" i="2"/>
  <c r="DG36" i="2"/>
  <c r="DJ36" i="2"/>
  <c r="DE36" i="2" a="1"/>
  <c r="DE36" i="2" s="1"/>
  <c r="DD138" i="2"/>
  <c r="DC137" i="2"/>
  <c r="AQ52" i="2"/>
  <c r="AN37" i="2"/>
  <c r="AM36" i="2" s="1"/>
  <c r="AL35" i="2" s="1"/>
  <c r="AY70" i="2"/>
  <c r="AX69" i="2" s="1"/>
  <c r="AQ50" i="2"/>
  <c r="AO89" i="2"/>
  <c r="AO87" i="2"/>
  <c r="AP86" i="2" s="1"/>
  <c r="AQ85" i="2" s="1"/>
  <c r="AR84" i="2" s="1"/>
  <c r="AS83" i="2" s="1"/>
  <c r="AT82" i="2" s="1"/>
  <c r="AU81" i="2" s="1"/>
  <c r="AV80" i="2" s="1"/>
  <c r="AW79" i="2" s="1"/>
  <c r="AX78" i="2" s="1"/>
  <c r="AY77" i="2" s="1"/>
  <c r="AZ76" i="2" s="1"/>
  <c r="BA75" i="2" s="1"/>
  <c r="BB74" i="2" s="1"/>
  <c r="BB75" i="2" s="1"/>
  <c r="BA74" i="2" s="1"/>
  <c r="AZ73" i="2" s="1"/>
  <c r="AZ171" i="2"/>
  <c r="AX67" i="2"/>
  <c r="AX65" i="2"/>
  <c r="AW64" i="2" s="1"/>
  <c r="AO189" i="2"/>
  <c r="AP188" i="2" s="1"/>
  <c r="AQ187" i="2" s="1"/>
  <c r="AR186" i="2" s="1"/>
  <c r="AS185" i="2" s="1"/>
  <c r="AT184" i="2" s="1"/>
  <c r="AU183" i="2" s="1"/>
  <c r="AV182" i="2" s="1"/>
  <c r="AW181" i="2" s="1"/>
  <c r="AX180" i="2" s="1"/>
  <c r="AY179" i="2" s="1"/>
  <c r="AZ178" i="2" s="1"/>
  <c r="BA177" i="2" s="1"/>
  <c r="BB176" i="2" s="1"/>
  <c r="BB177" i="2" s="1"/>
  <c r="BA176" i="2" s="1"/>
  <c r="AO191" i="2"/>
  <c r="AW62" i="2"/>
  <c r="AT57" i="2"/>
  <c r="AK128" i="2"/>
  <c r="AJ129" i="2" s="1"/>
  <c r="AK126" i="2"/>
  <c r="AL33" i="2"/>
  <c r="AL31" i="2"/>
  <c r="AJ23" i="2"/>
  <c r="AI24" i="2" s="1"/>
  <c r="AH25" i="2" s="1"/>
  <c r="AJ21" i="2"/>
  <c r="AN137" i="2"/>
  <c r="AN135" i="2"/>
  <c r="AT155" i="2"/>
  <c r="AS156" i="2" s="1"/>
  <c r="AT153" i="2"/>
  <c r="AQ148" i="2"/>
  <c r="AW164" i="2"/>
  <c r="AV165" i="2" s="1"/>
  <c r="AW162" i="2"/>
  <c r="BA174" i="2"/>
  <c r="AZ173" i="2" s="1"/>
  <c r="AM40" i="2"/>
  <c r="AQ48" i="2"/>
  <c r="AP49" i="2" s="1"/>
  <c r="AQ46" i="2"/>
  <c r="AP143" i="2"/>
  <c r="AO144" i="2" s="1"/>
  <c r="AP141" i="2"/>
  <c r="AM38" i="2" l="1"/>
  <c r="DH36" i="2"/>
  <c r="BD139" i="2"/>
  <c r="AP51" i="2"/>
  <c r="AO50" i="2" s="1"/>
  <c r="DF138" i="2"/>
  <c r="DE138" i="2" a="1"/>
  <c r="DE138" i="2" s="1"/>
  <c r="DG138" i="2"/>
  <c r="DD38" i="2"/>
  <c r="DC38" i="2" s="1"/>
  <c r="DG37" i="2"/>
  <c r="DF37" i="2"/>
  <c r="DD139" i="2"/>
  <c r="DC138" i="2"/>
  <c r="DJ37" i="2"/>
  <c r="DE37" i="2" a="1"/>
  <c r="DE37" i="2" s="1"/>
  <c r="DH37" i="2" s="1"/>
  <c r="AL37" i="2"/>
  <c r="AK36" i="2" s="1"/>
  <c r="AK34" i="2"/>
  <c r="AI22" i="2"/>
  <c r="AH23" i="2" s="1"/>
  <c r="AG24" i="2" s="1"/>
  <c r="AV63" i="2"/>
  <c r="AV61" i="2"/>
  <c r="AK32" i="2"/>
  <c r="AJ33" i="2" s="1"/>
  <c r="AK30" i="2"/>
  <c r="AP190" i="2"/>
  <c r="AQ189" i="2" s="1"/>
  <c r="AR188" i="2" s="1"/>
  <c r="AS187" i="2" s="1"/>
  <c r="AT186" i="2" s="1"/>
  <c r="AU185" i="2" s="1"/>
  <c r="AV184" i="2" s="1"/>
  <c r="AW183" i="2" s="1"/>
  <c r="AX182" i="2" s="1"/>
  <c r="AY181" i="2" s="1"/>
  <c r="AZ180" i="2" s="1"/>
  <c r="BA179" i="2" s="1"/>
  <c r="BB178" i="2" s="1"/>
  <c r="BB179" i="2" s="1"/>
  <c r="BA178" i="2" s="1"/>
  <c r="AP192" i="2"/>
  <c r="AO142" i="2"/>
  <c r="AN143" i="2" s="1"/>
  <c r="AO140" i="2"/>
  <c r="AP88" i="2"/>
  <c r="AQ87" i="2" s="1"/>
  <c r="AR86" i="2" s="1"/>
  <c r="AS85" i="2" s="1"/>
  <c r="AT84" i="2" s="1"/>
  <c r="AU83" i="2" s="1"/>
  <c r="AV82" i="2" s="1"/>
  <c r="AW81" i="2" s="1"/>
  <c r="AX80" i="2" s="1"/>
  <c r="AY79" i="2" s="1"/>
  <c r="AZ78" i="2" s="1"/>
  <c r="BA77" i="2" s="1"/>
  <c r="BB76" i="2" s="1"/>
  <c r="BB77" i="2" s="1"/>
  <c r="AP90" i="2"/>
  <c r="AP47" i="2"/>
  <c r="AO48" i="2" s="1"/>
  <c r="AP45" i="2"/>
  <c r="AJ127" i="2"/>
  <c r="AI128" i="2" s="1"/>
  <c r="AJ125" i="2"/>
  <c r="AW66" i="2"/>
  <c r="AZ175" i="2"/>
  <c r="AW68" i="2"/>
  <c r="AP147" i="2"/>
  <c r="AL39" i="2"/>
  <c r="AS56" i="2"/>
  <c r="AY72" i="2"/>
  <c r="AS154" i="2"/>
  <c r="AR155" i="2" s="1"/>
  <c r="AS152" i="2"/>
  <c r="AV163" i="2"/>
  <c r="AU164" i="2" s="1"/>
  <c r="AV161" i="2"/>
  <c r="AM136" i="2"/>
  <c r="AM134" i="2"/>
  <c r="AY172" i="2"/>
  <c r="AY170" i="2"/>
  <c r="DH138" i="2" l="1"/>
  <c r="AK38" i="2"/>
  <c r="BD140" i="2"/>
  <c r="AN49" i="2"/>
  <c r="DG139" i="2"/>
  <c r="DE139" i="2" a="1"/>
  <c r="DE139" i="2" s="1"/>
  <c r="DF139" i="2"/>
  <c r="DD39" i="2"/>
  <c r="DC39" i="2" s="1"/>
  <c r="DG38" i="2"/>
  <c r="DF38" i="2"/>
  <c r="DJ38" i="2"/>
  <c r="DE38" i="2" a="1"/>
  <c r="DE38" i="2" s="1"/>
  <c r="DH38" i="2" s="1"/>
  <c r="DD140" i="2"/>
  <c r="DC139" i="2"/>
  <c r="AJ35" i="2"/>
  <c r="AI34" i="2" s="1"/>
  <c r="AJ37" i="2"/>
  <c r="AN141" i="2"/>
  <c r="AM142" i="2" s="1"/>
  <c r="AN139" i="2"/>
  <c r="AU60" i="2"/>
  <c r="AU62" i="2"/>
  <c r="AL135" i="2"/>
  <c r="AL133" i="2"/>
  <c r="AR55" i="2"/>
  <c r="AO46" i="2"/>
  <c r="AN47" i="2" s="1"/>
  <c r="AM48" i="2" s="1"/>
  <c r="AO44" i="2"/>
  <c r="AQ191" i="2"/>
  <c r="AR190" i="2" s="1"/>
  <c r="AS189" i="2" s="1"/>
  <c r="AT188" i="2" s="1"/>
  <c r="AU187" i="2" s="1"/>
  <c r="AV186" i="2" s="1"/>
  <c r="AW185" i="2" s="1"/>
  <c r="AX184" i="2" s="1"/>
  <c r="AY183" i="2" s="1"/>
  <c r="AZ182" i="2" s="1"/>
  <c r="BA181" i="2" s="1"/>
  <c r="BB180" i="2" s="1"/>
  <c r="BB181" i="2" s="1"/>
  <c r="BA180" i="2" s="1"/>
  <c r="AQ193" i="2"/>
  <c r="AU162" i="2"/>
  <c r="AT163" i="2" s="1"/>
  <c r="AU160" i="2"/>
  <c r="AQ89" i="2"/>
  <c r="AR88" i="2" s="1"/>
  <c r="AS87" i="2" s="1"/>
  <c r="AT86" i="2" s="1"/>
  <c r="AU85" i="2" s="1"/>
  <c r="AV84" i="2" s="1"/>
  <c r="AW83" i="2" s="1"/>
  <c r="AX82" i="2" s="1"/>
  <c r="AY81" i="2" s="1"/>
  <c r="AZ80" i="2" s="1"/>
  <c r="BA79" i="2" s="1"/>
  <c r="BB78" i="2" s="1"/>
  <c r="BB79" i="2" s="1"/>
  <c r="AQ91" i="2"/>
  <c r="AJ31" i="2"/>
  <c r="AI32" i="2" s="1"/>
  <c r="AJ29" i="2"/>
  <c r="AX171" i="2"/>
  <c r="AX169" i="2"/>
  <c r="AV67" i="2"/>
  <c r="AZ177" i="2"/>
  <c r="BA76" i="2"/>
  <c r="AZ75" i="2" s="1"/>
  <c r="AX71" i="2"/>
  <c r="AR153" i="2"/>
  <c r="AQ154" i="2" s="1"/>
  <c r="AR151" i="2"/>
  <c r="AO146" i="2"/>
  <c r="AI126" i="2"/>
  <c r="AH127" i="2" s="1"/>
  <c r="AI124" i="2"/>
  <c r="AV65" i="2"/>
  <c r="AY174" i="2"/>
  <c r="DH139" i="2" l="1"/>
  <c r="BD141" i="2"/>
  <c r="DE140" i="2" a="1"/>
  <c r="DE140" i="2" s="1"/>
  <c r="DH140" i="2" s="1"/>
  <c r="DF140" i="2"/>
  <c r="DG140" i="2"/>
  <c r="DD40" i="2"/>
  <c r="DC40" i="2" s="1"/>
  <c r="DG39" i="2"/>
  <c r="DF39" i="2"/>
  <c r="DD141" i="2"/>
  <c r="DC140" i="2"/>
  <c r="DJ39" i="2"/>
  <c r="DE39" i="2" a="1"/>
  <c r="DE39" i="2" s="1"/>
  <c r="DH39" i="2" s="1"/>
  <c r="AH33" i="2"/>
  <c r="AI36" i="2"/>
  <c r="AH35" i="2" s="1"/>
  <c r="AU66" i="2"/>
  <c r="AH125" i="2"/>
  <c r="AG126" i="2" s="1"/>
  <c r="AR90" i="2"/>
  <c r="AS89" i="2" s="1"/>
  <c r="AT88" i="2" s="1"/>
  <c r="AU87" i="2" s="1"/>
  <c r="AV86" i="2" s="1"/>
  <c r="AW85" i="2" s="1"/>
  <c r="AX84" i="2" s="1"/>
  <c r="AY83" i="2" s="1"/>
  <c r="AZ82" i="2" s="1"/>
  <c r="BA81" i="2" s="1"/>
  <c r="BB80" i="2" s="1"/>
  <c r="BB81" i="2" s="1"/>
  <c r="BA80" i="2" s="1"/>
  <c r="AR92" i="2"/>
  <c r="AK134" i="2"/>
  <c r="AK132" i="2"/>
  <c r="AT61" i="2"/>
  <c r="AT59" i="2"/>
  <c r="AN145" i="2"/>
  <c r="AR192" i="2"/>
  <c r="AS191" i="2" s="1"/>
  <c r="AT190" i="2" s="1"/>
  <c r="AU189" i="2" s="1"/>
  <c r="AV188" i="2" s="1"/>
  <c r="AW187" i="2" s="1"/>
  <c r="AX186" i="2" s="1"/>
  <c r="AY185" i="2" s="1"/>
  <c r="AZ184" i="2" s="1"/>
  <c r="BA183" i="2" s="1"/>
  <c r="BB182" i="2" s="1"/>
  <c r="BB183" i="2" s="1"/>
  <c r="BA182" i="2" s="1"/>
  <c r="AR194" i="2"/>
  <c r="AM140" i="2"/>
  <c r="AL141" i="2" s="1"/>
  <c r="AM138" i="2"/>
  <c r="AU64" i="2"/>
  <c r="AT63" i="2" s="1"/>
  <c r="AQ152" i="2"/>
  <c r="AP153" i="2" s="1"/>
  <c r="AQ150" i="2"/>
  <c r="AT161" i="2"/>
  <c r="AS162" i="2" s="1"/>
  <c r="AT159" i="2"/>
  <c r="AW170" i="2"/>
  <c r="AW168" i="2"/>
  <c r="AN45" i="2"/>
  <c r="AM46" i="2" s="1"/>
  <c r="AL47" i="2" s="1"/>
  <c r="AN43" i="2"/>
  <c r="AY176" i="2"/>
  <c r="AX175" i="2" s="1"/>
  <c r="AW70" i="2"/>
  <c r="BA78" i="2"/>
  <c r="AI30" i="2"/>
  <c r="AH31" i="2" s="1"/>
  <c r="AG32" i="2" s="1"/>
  <c r="AI28" i="2"/>
  <c r="AQ54" i="2"/>
  <c r="AX173" i="2"/>
  <c r="AY74" i="2"/>
  <c r="AZ179" i="2"/>
  <c r="BD142" i="2" l="1"/>
  <c r="AG34" i="2"/>
  <c r="DE141" i="2" a="1"/>
  <c r="DE141" i="2" s="1"/>
  <c r="DF141" i="2"/>
  <c r="DG141" i="2"/>
  <c r="DD41" i="2"/>
  <c r="DC41" i="2" s="1"/>
  <c r="DG40" i="2"/>
  <c r="DF40" i="2"/>
  <c r="DJ40" i="2"/>
  <c r="DE40" i="2" a="1"/>
  <c r="DE40" i="2" s="1"/>
  <c r="DH40" i="2" s="1"/>
  <c r="DD142" i="2"/>
  <c r="DC141" i="2"/>
  <c r="AT65" i="2"/>
  <c r="AS64" i="2" s="1"/>
  <c r="AF33" i="2"/>
  <c r="AS195" i="2"/>
  <c r="AS193" i="2"/>
  <c r="AT192" i="2" s="1"/>
  <c r="AU191" i="2" s="1"/>
  <c r="AV190" i="2" s="1"/>
  <c r="AW189" i="2" s="1"/>
  <c r="AX188" i="2" s="1"/>
  <c r="AY187" i="2" s="1"/>
  <c r="AZ186" i="2" s="1"/>
  <c r="BA185" i="2" s="1"/>
  <c r="BB184" i="2" s="1"/>
  <c r="BB185" i="2" s="1"/>
  <c r="AS60" i="2"/>
  <c r="AS58" i="2"/>
  <c r="AZ77" i="2"/>
  <c r="AY76" i="2" s="1"/>
  <c r="AX75" i="2" s="1"/>
  <c r="AZ79" i="2"/>
  <c r="AP151" i="2"/>
  <c r="AO152" i="2" s="1"/>
  <c r="AP149" i="2"/>
  <c r="AS62" i="2"/>
  <c r="AJ133" i="2"/>
  <c r="AJ131" i="2"/>
  <c r="AW174" i="2"/>
  <c r="AV69" i="2"/>
  <c r="AU68" i="2" s="1"/>
  <c r="AV169" i="2"/>
  <c r="AV167" i="2"/>
  <c r="AS91" i="2"/>
  <c r="AT90" i="2" s="1"/>
  <c r="AU89" i="2" s="1"/>
  <c r="AV88" i="2" s="1"/>
  <c r="AW87" i="2" s="1"/>
  <c r="AX86" i="2" s="1"/>
  <c r="AY85" i="2" s="1"/>
  <c r="AZ84" i="2" s="1"/>
  <c r="BA83" i="2" s="1"/>
  <c r="BB82" i="2" s="1"/>
  <c r="BB83" i="2" s="1"/>
  <c r="BA82" i="2" s="1"/>
  <c r="AS93" i="2"/>
  <c r="AM44" i="2"/>
  <c r="AL45" i="2" s="1"/>
  <c r="AK46" i="2" s="1"/>
  <c r="AM42" i="2"/>
  <c r="AZ181" i="2"/>
  <c r="AX73" i="2"/>
  <c r="AP53" i="2"/>
  <c r="AL139" i="2"/>
  <c r="AK140" i="2" s="1"/>
  <c r="AL137" i="2"/>
  <c r="AM144" i="2"/>
  <c r="AY178" i="2"/>
  <c r="AX177" i="2" s="1"/>
  <c r="AH29" i="2"/>
  <c r="AG30" i="2" s="1"/>
  <c r="AF31" i="2" s="1"/>
  <c r="AE32" i="2" s="1"/>
  <c r="AH27" i="2"/>
  <c r="AW172" i="2"/>
  <c r="AS160" i="2"/>
  <c r="AR161" i="2" s="1"/>
  <c r="AS158" i="2"/>
  <c r="DH141" i="2" l="1"/>
  <c r="BD143" i="2"/>
  <c r="AR61" i="2"/>
  <c r="DF142" i="2"/>
  <c r="DG142" i="2"/>
  <c r="DE142" i="2" a="1"/>
  <c r="DE142" i="2" s="1"/>
  <c r="DH142" i="2" s="1"/>
  <c r="DD42" i="2"/>
  <c r="DC42" i="2" s="1"/>
  <c r="DF41" i="2"/>
  <c r="DG41" i="2"/>
  <c r="DD143" i="2"/>
  <c r="DC142" i="2"/>
  <c r="DJ41" i="2"/>
  <c r="DE41" i="2" a="1"/>
  <c r="DE41" i="2" s="1"/>
  <c r="DH41" i="2" s="1"/>
  <c r="AR63" i="2"/>
  <c r="AQ62" i="2" s="1"/>
  <c r="AV173" i="2"/>
  <c r="AU168" i="2"/>
  <c r="AU166" i="2"/>
  <c r="AI132" i="2"/>
  <c r="AI130" i="2"/>
  <c r="AK138" i="2"/>
  <c r="AJ139" i="2" s="1"/>
  <c r="AK136" i="2"/>
  <c r="AR59" i="2"/>
  <c r="AQ60" i="2" s="1"/>
  <c r="AR57" i="2"/>
  <c r="AG28" i="2"/>
  <c r="AF29" i="2" s="1"/>
  <c r="AE30" i="2" s="1"/>
  <c r="AD31" i="2" s="1"/>
  <c r="AG26" i="2"/>
  <c r="AT67" i="2"/>
  <c r="AL43" i="2"/>
  <c r="AK44" i="2" s="1"/>
  <c r="AJ45" i="2" s="1"/>
  <c r="AL41" i="2"/>
  <c r="BA184" i="2"/>
  <c r="AT196" i="2"/>
  <c r="AT194" i="2"/>
  <c r="AU193" i="2" s="1"/>
  <c r="AV192" i="2" s="1"/>
  <c r="AW191" i="2" s="1"/>
  <c r="AX190" i="2" s="1"/>
  <c r="AY189" i="2" s="1"/>
  <c r="AZ188" i="2" s="1"/>
  <c r="BA187" i="2" s="1"/>
  <c r="BB186" i="2" s="1"/>
  <c r="BB187" i="2" s="1"/>
  <c r="BA186" i="2" s="1"/>
  <c r="AV171" i="2"/>
  <c r="AY180" i="2"/>
  <c r="AX179" i="2" s="1"/>
  <c r="AO52" i="2"/>
  <c r="AT94" i="2"/>
  <c r="AT92" i="2"/>
  <c r="AU91" i="2" s="1"/>
  <c r="AV90" i="2" s="1"/>
  <c r="AW89" i="2" s="1"/>
  <c r="AX88" i="2" s="1"/>
  <c r="AY87" i="2" s="1"/>
  <c r="AZ86" i="2" s="1"/>
  <c r="BA85" i="2" s="1"/>
  <c r="BB84" i="2" s="1"/>
  <c r="BB85" i="2" s="1"/>
  <c r="AO150" i="2"/>
  <c r="AN151" i="2" s="1"/>
  <c r="AO148" i="2"/>
  <c r="AW176" i="2"/>
  <c r="AR159" i="2"/>
  <c r="AQ160" i="2" s="1"/>
  <c r="AR157" i="2"/>
  <c r="AL143" i="2"/>
  <c r="AW74" i="2"/>
  <c r="AW72" i="2"/>
  <c r="AY78" i="2"/>
  <c r="AX77" i="2" s="1"/>
  <c r="AW76" i="2" s="1"/>
  <c r="AZ81" i="2"/>
  <c r="BD144" i="2" l="1"/>
  <c r="AU172" i="2"/>
  <c r="DE143" i="2" a="1"/>
  <c r="DE143" i="2" s="1"/>
  <c r="DH143" i="2" s="1"/>
  <c r="DF143" i="2"/>
  <c r="DG143" i="2"/>
  <c r="DD43" i="2"/>
  <c r="DC43" i="2" s="1"/>
  <c r="DF42" i="2"/>
  <c r="DG42" i="2"/>
  <c r="DJ42" i="2"/>
  <c r="DE42" i="2" a="1"/>
  <c r="DE42" i="2" s="1"/>
  <c r="DD144" i="2"/>
  <c r="DC143" i="2"/>
  <c r="AP61" i="2"/>
  <c r="AW178" i="2"/>
  <c r="AK142" i="2"/>
  <c r="AZ185" i="2"/>
  <c r="AZ183" i="2"/>
  <c r="AF27" i="2"/>
  <c r="AE28" i="2" s="1"/>
  <c r="AD29" i="2" s="1"/>
  <c r="AC30" i="2" s="1"/>
  <c r="AF25" i="2"/>
  <c r="AN149" i="2"/>
  <c r="AM150" i="2" s="1"/>
  <c r="AN147" i="2"/>
  <c r="AK42" i="2"/>
  <c r="AJ43" i="2" s="1"/>
  <c r="AI44" i="2" s="1"/>
  <c r="AK40" i="2"/>
  <c r="AQ58" i="2"/>
  <c r="AP59" i="2" s="1"/>
  <c r="AO60" i="2" s="1"/>
  <c r="AQ56" i="2"/>
  <c r="AH131" i="2"/>
  <c r="AH129" i="2"/>
  <c r="BA84" i="2"/>
  <c r="AU95" i="2"/>
  <c r="AU93" i="2"/>
  <c r="AV92" i="2" s="1"/>
  <c r="AW91" i="2" s="1"/>
  <c r="AX90" i="2" s="1"/>
  <c r="AY89" i="2" s="1"/>
  <c r="AZ88" i="2" s="1"/>
  <c r="BA87" i="2" s="1"/>
  <c r="BB86" i="2" s="1"/>
  <c r="BB87" i="2" s="1"/>
  <c r="BA86" i="2" s="1"/>
  <c r="AT167" i="2"/>
  <c r="AT165" i="2"/>
  <c r="AY80" i="2"/>
  <c r="AX79" i="2" s="1"/>
  <c r="AV73" i="2"/>
  <c r="AV71" i="2"/>
  <c r="AU70" i="2" s="1"/>
  <c r="AV177" i="2"/>
  <c r="AN51" i="2"/>
  <c r="AV175" i="2"/>
  <c r="AU170" i="2"/>
  <c r="AT171" i="2" s="1"/>
  <c r="AQ158" i="2"/>
  <c r="AP159" i="2" s="1"/>
  <c r="AQ156" i="2"/>
  <c r="AU195" i="2"/>
  <c r="AV194" i="2" s="1"/>
  <c r="AW193" i="2" s="1"/>
  <c r="AX192" i="2" s="1"/>
  <c r="AY191" i="2" s="1"/>
  <c r="AZ190" i="2" s="1"/>
  <c r="BA189" i="2" s="1"/>
  <c r="BB188" i="2" s="1"/>
  <c r="BB189" i="2" s="1"/>
  <c r="AU197" i="2"/>
  <c r="AV75" i="2"/>
  <c r="AS66" i="2"/>
  <c r="AJ137" i="2"/>
  <c r="AI138" i="2" s="1"/>
  <c r="AJ135" i="2"/>
  <c r="DH42" i="2" l="1"/>
  <c r="BD145" i="2"/>
  <c r="DE144" i="2" a="1"/>
  <c r="DE144" i="2" s="1"/>
  <c r="DH144" i="2" s="1"/>
  <c r="DF144" i="2"/>
  <c r="DG144" i="2"/>
  <c r="DD44" i="2"/>
  <c r="DC44" i="2" s="1"/>
  <c r="DF43" i="2"/>
  <c r="DG43" i="2"/>
  <c r="DD145" i="2"/>
  <c r="DC144" i="2"/>
  <c r="DJ43" i="2"/>
  <c r="DE43" i="2" a="1"/>
  <c r="DE43" i="2" s="1"/>
  <c r="AE26" i="2"/>
  <c r="AD27" i="2" s="1"/>
  <c r="AC28" i="2" s="1"/>
  <c r="AB29" i="2" s="1"/>
  <c r="AT169" i="2"/>
  <c r="AS170" i="2" s="1"/>
  <c r="AV198" i="2"/>
  <c r="AV196" i="2"/>
  <c r="AW195" i="2" s="1"/>
  <c r="AX194" i="2" s="1"/>
  <c r="AY193" i="2" s="1"/>
  <c r="AZ192" i="2" s="1"/>
  <c r="BA191" i="2" s="1"/>
  <c r="BB190" i="2" s="1"/>
  <c r="BB191" i="2" s="1"/>
  <c r="AZ85" i="2"/>
  <c r="AZ83" i="2"/>
  <c r="AY82" i="2" s="1"/>
  <c r="AX81" i="2" s="1"/>
  <c r="AW80" i="2" s="1"/>
  <c r="AJ41" i="2"/>
  <c r="AI42" i="2" s="1"/>
  <c r="AH43" i="2" s="1"/>
  <c r="AJ39" i="2"/>
  <c r="AM50" i="2"/>
  <c r="AG130" i="2"/>
  <c r="AG128" i="2"/>
  <c r="AV96" i="2"/>
  <c r="AV94" i="2"/>
  <c r="AW93" i="2" s="1"/>
  <c r="AX92" i="2" s="1"/>
  <c r="AY91" i="2" s="1"/>
  <c r="AZ90" i="2" s="1"/>
  <c r="BA89" i="2" s="1"/>
  <c r="BB88" i="2" s="1"/>
  <c r="BB89" i="2" s="1"/>
  <c r="AM148" i="2"/>
  <c r="AL149" i="2" s="1"/>
  <c r="AM146" i="2"/>
  <c r="AJ141" i="2"/>
  <c r="AS166" i="2"/>
  <c r="AS164" i="2"/>
  <c r="AT69" i="2"/>
  <c r="AW78" i="2"/>
  <c r="AP57" i="2"/>
  <c r="AO58" i="2" s="1"/>
  <c r="AN59" i="2" s="1"/>
  <c r="AP55" i="2"/>
  <c r="AU72" i="2"/>
  <c r="AT71" i="2" s="1"/>
  <c r="AU74" i="2"/>
  <c r="AU176" i="2"/>
  <c r="AU174" i="2"/>
  <c r="AI136" i="2"/>
  <c r="AH137" i="2" s="1"/>
  <c r="AI134" i="2"/>
  <c r="AP157" i="2"/>
  <c r="AO158" i="2" s="1"/>
  <c r="AP155" i="2"/>
  <c r="AR65" i="2"/>
  <c r="BA188" i="2"/>
  <c r="AZ187" i="2" s="1"/>
  <c r="AY184" i="2"/>
  <c r="AY182" i="2"/>
  <c r="DH43" i="2" l="1"/>
  <c r="BD146" i="2"/>
  <c r="AS168" i="2"/>
  <c r="AR169" i="2" s="1"/>
  <c r="DE145" i="2" a="1"/>
  <c r="DE145" i="2" s="1"/>
  <c r="DF145" i="2"/>
  <c r="DG145" i="2"/>
  <c r="DD45" i="2"/>
  <c r="DC45" i="2" s="1"/>
  <c r="DF44" i="2"/>
  <c r="DG44" i="2"/>
  <c r="DJ44" i="2"/>
  <c r="DE44" i="2" a="1"/>
  <c r="DE44" i="2" s="1"/>
  <c r="DH44" i="2" s="1"/>
  <c r="DD146" i="2"/>
  <c r="DC145" i="2"/>
  <c r="AT175" i="2"/>
  <c r="AT173" i="2"/>
  <c r="AX181" i="2"/>
  <c r="AX183" i="2"/>
  <c r="AI140" i="2"/>
  <c r="AF129" i="2"/>
  <c r="AF127" i="2"/>
  <c r="AI40" i="2"/>
  <c r="AH41" i="2" s="1"/>
  <c r="AG42" i="2" s="1"/>
  <c r="AI38" i="2"/>
  <c r="AL147" i="2"/>
  <c r="AK148" i="2" s="1"/>
  <c r="AL145" i="2"/>
  <c r="AL49" i="2"/>
  <c r="AY84" i="2"/>
  <c r="AX83" i="2" s="1"/>
  <c r="AO156" i="2"/>
  <c r="AN157" i="2" s="1"/>
  <c r="AO154" i="2"/>
  <c r="AV77" i="2"/>
  <c r="AV79" i="2"/>
  <c r="AO56" i="2"/>
  <c r="AO54" i="2"/>
  <c r="AN53" i="2" s="1"/>
  <c r="AT73" i="2"/>
  <c r="AS70" i="2"/>
  <c r="AS68" i="2"/>
  <c r="AQ64" i="2"/>
  <c r="BA88" i="2"/>
  <c r="AW199" i="2"/>
  <c r="AW197" i="2"/>
  <c r="AX196" i="2" s="1"/>
  <c r="AY195" i="2" s="1"/>
  <c r="AZ194" i="2" s="1"/>
  <c r="BA193" i="2" s="1"/>
  <c r="BB192" i="2" s="1"/>
  <c r="BB193" i="2" s="1"/>
  <c r="BA192" i="2" s="1"/>
  <c r="AH135" i="2"/>
  <c r="AG136" i="2" s="1"/>
  <c r="AH133" i="2"/>
  <c r="AR165" i="2"/>
  <c r="AR163" i="2"/>
  <c r="AW95" i="2"/>
  <c r="AX94" i="2" s="1"/>
  <c r="AY93" i="2" s="1"/>
  <c r="AZ92" i="2" s="1"/>
  <c r="BA91" i="2" s="1"/>
  <c r="BB90" i="2" s="1"/>
  <c r="BB91" i="2" s="1"/>
  <c r="BA90" i="2" s="1"/>
  <c r="AW97" i="2"/>
  <c r="BA190" i="2"/>
  <c r="AY186" i="2"/>
  <c r="AX185" i="2" s="1"/>
  <c r="DH145" i="2" l="1"/>
  <c r="BD147" i="2"/>
  <c r="AR167" i="2"/>
  <c r="AQ168" i="2" s="1"/>
  <c r="DF146" i="2"/>
  <c r="DE146" i="2" a="1"/>
  <c r="DE146" i="2" s="1"/>
  <c r="DG146" i="2"/>
  <c r="DD46" i="2"/>
  <c r="DC46" i="2" s="1"/>
  <c r="DG45" i="2"/>
  <c r="DF45" i="2"/>
  <c r="DD147" i="2"/>
  <c r="DC146" i="2"/>
  <c r="DJ45" i="2"/>
  <c r="DE45" i="2" a="1"/>
  <c r="DE45" i="2" s="1"/>
  <c r="DH45" i="2" s="1"/>
  <c r="AE128" i="2"/>
  <c r="AW82" i="2"/>
  <c r="AV81" i="2" s="1"/>
  <c r="AP63" i="2"/>
  <c r="AH139" i="2"/>
  <c r="AM52" i="2"/>
  <c r="AN55" i="2"/>
  <c r="AN57" i="2"/>
  <c r="AM58" i="2" s="1"/>
  <c r="AW184" i="2"/>
  <c r="AZ189" i="2"/>
  <c r="AZ191" i="2"/>
  <c r="AX98" i="2"/>
  <c r="AX96" i="2"/>
  <c r="AY95" i="2" s="1"/>
  <c r="AZ94" i="2" s="1"/>
  <c r="BA93" i="2" s="1"/>
  <c r="BB92" i="2" s="1"/>
  <c r="BB93" i="2" s="1"/>
  <c r="BA92" i="2" s="1"/>
  <c r="AK48" i="2"/>
  <c r="AH39" i="2"/>
  <c r="AG40" i="2" s="1"/>
  <c r="AF41" i="2" s="1"/>
  <c r="AH37" i="2"/>
  <c r="AW182" i="2"/>
  <c r="AW180" i="2"/>
  <c r="AR69" i="2"/>
  <c r="AR67" i="2"/>
  <c r="AS174" i="2"/>
  <c r="AS172" i="2"/>
  <c r="AU80" i="2"/>
  <c r="AK146" i="2"/>
  <c r="AJ147" i="2" s="1"/>
  <c r="AK144" i="2"/>
  <c r="AU78" i="2"/>
  <c r="AU76" i="2"/>
  <c r="AG134" i="2"/>
  <c r="AF135" i="2" s="1"/>
  <c r="AG132" i="2"/>
  <c r="AQ164" i="2"/>
  <c r="AQ162" i="2"/>
  <c r="AX200" i="2"/>
  <c r="AX198" i="2"/>
  <c r="AY197" i="2" s="1"/>
  <c r="AZ196" i="2" s="1"/>
  <c r="BA195" i="2" s="1"/>
  <c r="BB194" i="2" s="1"/>
  <c r="BB195" i="2" s="1"/>
  <c r="BA194" i="2" s="1"/>
  <c r="AZ89" i="2"/>
  <c r="AZ87" i="2"/>
  <c r="AN155" i="2"/>
  <c r="AM156" i="2" s="1"/>
  <c r="AN153" i="2"/>
  <c r="AS72" i="2"/>
  <c r="DH146" i="2" l="1"/>
  <c r="BD148" i="2"/>
  <c r="AQ166" i="2"/>
  <c r="AP167" i="2" s="1"/>
  <c r="DG147" i="2"/>
  <c r="DE147" i="2" a="1"/>
  <c r="DE147" i="2" s="1"/>
  <c r="DF147" i="2"/>
  <c r="DD47" i="2"/>
  <c r="DC47" i="2" s="1"/>
  <c r="DG46" i="2"/>
  <c r="DF46" i="2"/>
  <c r="DJ46" i="2"/>
  <c r="DE46" i="2" a="1"/>
  <c r="DE46" i="2" s="1"/>
  <c r="DH46" i="2" s="1"/>
  <c r="DD148" i="2"/>
  <c r="DC147" i="2"/>
  <c r="AT79" i="2"/>
  <c r="AZ193" i="2"/>
  <c r="AP163" i="2"/>
  <c r="AP161" i="2"/>
  <c r="AJ47" i="2"/>
  <c r="AQ68" i="2"/>
  <c r="AQ66" i="2"/>
  <c r="AO62" i="2"/>
  <c r="AM56" i="2"/>
  <c r="AL57" i="2" s="1"/>
  <c r="AJ145" i="2"/>
  <c r="AJ143" i="2"/>
  <c r="AI142" i="2" s="1"/>
  <c r="AH141" i="2" s="1"/>
  <c r="AY99" i="2"/>
  <c r="AY97" i="2"/>
  <c r="AZ96" i="2" s="1"/>
  <c r="BA95" i="2" s="1"/>
  <c r="BB94" i="2" s="1"/>
  <c r="BB95" i="2" s="1"/>
  <c r="BA94" i="2" s="1"/>
  <c r="AF133" i="2"/>
  <c r="AE134" i="2" s="1"/>
  <c r="AF131" i="2"/>
  <c r="AV181" i="2"/>
  <c r="AV179" i="2"/>
  <c r="AY192" i="2"/>
  <c r="AL51" i="2"/>
  <c r="AK50" i="2" s="1"/>
  <c r="AJ49" i="2" s="1"/>
  <c r="AM154" i="2"/>
  <c r="AL155" i="2" s="1"/>
  <c r="AM152" i="2"/>
  <c r="AR71" i="2"/>
  <c r="AV183" i="2"/>
  <c r="AY190" i="2"/>
  <c r="AY188" i="2"/>
  <c r="AX187" i="2" s="1"/>
  <c r="AM54" i="2"/>
  <c r="AY201" i="2"/>
  <c r="AY199" i="2"/>
  <c r="AZ198" i="2" s="1"/>
  <c r="BA197" i="2" s="1"/>
  <c r="BB196" i="2" s="1"/>
  <c r="BB197" i="2" s="1"/>
  <c r="BA196" i="2" s="1"/>
  <c r="AY86" i="2"/>
  <c r="AY88" i="2"/>
  <c r="AT77" i="2"/>
  <c r="AT75" i="2"/>
  <c r="AR173" i="2"/>
  <c r="AR171" i="2"/>
  <c r="AG38" i="2"/>
  <c r="AF39" i="2" s="1"/>
  <c r="AE40" i="2" s="1"/>
  <c r="AG36" i="2"/>
  <c r="AG140" i="2"/>
  <c r="AG138" i="2"/>
  <c r="AZ91" i="2"/>
  <c r="AY90" i="2" s="1"/>
  <c r="DH147" i="2" l="1"/>
  <c r="AS78" i="2"/>
  <c r="BD149" i="2"/>
  <c r="AP165" i="2"/>
  <c r="AO166" i="2" s="1"/>
  <c r="DE148" i="2" a="1"/>
  <c r="DE148" i="2" s="1"/>
  <c r="DF148" i="2"/>
  <c r="DG148" i="2"/>
  <c r="DD48" i="2"/>
  <c r="DC48" i="2" s="1"/>
  <c r="DG47" i="2"/>
  <c r="DF47" i="2"/>
  <c r="DD149" i="2"/>
  <c r="DC148" i="2"/>
  <c r="DJ47" i="2"/>
  <c r="DE47" i="2" a="1"/>
  <c r="DE47" i="2" s="1"/>
  <c r="DH47" i="2" s="1"/>
  <c r="AU182" i="2"/>
  <c r="AZ195" i="2"/>
  <c r="AZ200" i="2"/>
  <c r="BA199" i="2" s="1"/>
  <c r="BB198" i="2" s="1"/>
  <c r="BB199" i="2" s="1"/>
  <c r="BA198" i="2" s="1"/>
  <c r="AZ202" i="2"/>
  <c r="AS76" i="2"/>
  <c r="AR77" i="2" s="1"/>
  <c r="AS74" i="2"/>
  <c r="AX89" i="2"/>
  <c r="AX87" i="2"/>
  <c r="AX85" i="2"/>
  <c r="AU180" i="2"/>
  <c r="AT181" i="2" s="1"/>
  <c r="AU178" i="2"/>
  <c r="AN61" i="2"/>
  <c r="AO162" i="2"/>
  <c r="AO160" i="2"/>
  <c r="AL153" i="2"/>
  <c r="AK154" i="2" s="1"/>
  <c r="AL151" i="2"/>
  <c r="AI144" i="2"/>
  <c r="AI146" i="2"/>
  <c r="AL55" i="2"/>
  <c r="AK56" i="2" s="1"/>
  <c r="AP67" i="2"/>
  <c r="AP65" i="2"/>
  <c r="AQ172" i="2"/>
  <c r="AQ170" i="2"/>
  <c r="AW186" i="2"/>
  <c r="AV185" i="2" s="1"/>
  <c r="AX189" i="2"/>
  <c r="AW188" i="2" s="1"/>
  <c r="AX191" i="2"/>
  <c r="AZ93" i="2"/>
  <c r="AF37" i="2"/>
  <c r="AE38" i="2" s="1"/>
  <c r="AD39" i="2" s="1"/>
  <c r="AF35" i="2"/>
  <c r="AE132" i="2"/>
  <c r="AD133" i="2" s="1"/>
  <c r="AE130" i="2"/>
  <c r="AF139" i="2"/>
  <c r="AF137" i="2"/>
  <c r="AL53" i="2"/>
  <c r="AZ100" i="2"/>
  <c r="AZ98" i="2"/>
  <c r="BA97" i="2" s="1"/>
  <c r="BB96" i="2" s="1"/>
  <c r="BB97" i="2" s="1"/>
  <c r="BA96" i="2" s="1"/>
  <c r="AQ70" i="2"/>
  <c r="AP69" i="2" s="1"/>
  <c r="AI48" i="2"/>
  <c r="AI46" i="2"/>
  <c r="AY194" i="2"/>
  <c r="AX193" i="2" s="1"/>
  <c r="DH148" i="2" l="1"/>
  <c r="BD150" i="2"/>
  <c r="AO164" i="2"/>
  <c r="AN165" i="2" s="1"/>
  <c r="DF149" i="2"/>
  <c r="DE149" i="2" a="1"/>
  <c r="DE149" i="2" s="1"/>
  <c r="DG149" i="2"/>
  <c r="DD49" i="2"/>
  <c r="DC49" i="2" s="1"/>
  <c r="DG48" i="2"/>
  <c r="DF48" i="2"/>
  <c r="DJ48" i="2"/>
  <c r="DE48" i="2" a="1"/>
  <c r="DE48" i="2" s="1"/>
  <c r="DH48" i="2" s="1"/>
  <c r="DD150" i="2"/>
  <c r="DC149" i="2"/>
  <c r="AW88" i="2"/>
  <c r="AW190" i="2"/>
  <c r="AV189" i="2" s="1"/>
  <c r="AT179" i="2"/>
  <c r="AS180" i="2" s="1"/>
  <c r="AT177" i="2"/>
  <c r="AR75" i="2"/>
  <c r="AQ76" i="2" s="1"/>
  <c r="AR73" i="2"/>
  <c r="AV187" i="2"/>
  <c r="AU186" i="2" s="1"/>
  <c r="AK52" i="2"/>
  <c r="AK54" i="2"/>
  <c r="AJ55" i="2" s="1"/>
  <c r="AU184" i="2"/>
  <c r="AY92" i="2"/>
  <c r="AP171" i="2"/>
  <c r="AP169" i="2"/>
  <c r="AW86" i="2"/>
  <c r="AW84" i="2"/>
  <c r="BA203" i="2"/>
  <c r="BA201" i="2"/>
  <c r="BB200" i="2" s="1"/>
  <c r="BB201" i="2" s="1"/>
  <c r="BA101" i="2"/>
  <c r="BA99" i="2"/>
  <c r="BB98" i="2" s="1"/>
  <c r="BB99" i="2" s="1"/>
  <c r="AE138" i="2"/>
  <c r="AE136" i="2"/>
  <c r="AN161" i="2"/>
  <c r="AN159" i="2"/>
  <c r="AH47" i="2"/>
  <c r="AH45" i="2"/>
  <c r="AH143" i="2"/>
  <c r="AH145" i="2"/>
  <c r="AE36" i="2"/>
  <c r="AD37" i="2" s="1"/>
  <c r="AC38" i="2" s="1"/>
  <c r="AE34" i="2"/>
  <c r="AZ95" i="2"/>
  <c r="AY94" i="2" s="1"/>
  <c r="AW192" i="2"/>
  <c r="AO66" i="2"/>
  <c r="AO64" i="2"/>
  <c r="AK152" i="2"/>
  <c r="AJ153" i="2" s="1"/>
  <c r="AK150" i="2"/>
  <c r="AM60" i="2"/>
  <c r="AD131" i="2"/>
  <c r="AC132" i="2" s="1"/>
  <c r="AD129" i="2"/>
  <c r="AO68" i="2"/>
  <c r="AZ197" i="2"/>
  <c r="AY196" i="2" s="1"/>
  <c r="DH149" i="2" l="1"/>
  <c r="BD151" i="2"/>
  <c r="AV87" i="2"/>
  <c r="AN163" i="2"/>
  <c r="AM164" i="2" s="1"/>
  <c r="DF150" i="2"/>
  <c r="DG150" i="2"/>
  <c r="DE150" i="2" a="1"/>
  <c r="DE150" i="2" s="1"/>
  <c r="DH150" i="2" s="1"/>
  <c r="DD50" i="2"/>
  <c r="DC50" i="2" s="1"/>
  <c r="DF49" i="2"/>
  <c r="DG49" i="2"/>
  <c r="DD151" i="2"/>
  <c r="DC150" i="2"/>
  <c r="DJ49" i="2"/>
  <c r="DE49" i="2" a="1"/>
  <c r="DE49" i="2" s="1"/>
  <c r="DH49" i="2" s="1"/>
  <c r="AN67" i="2"/>
  <c r="AX195" i="2"/>
  <c r="AN65" i="2"/>
  <c r="AN63" i="2"/>
  <c r="BB204" i="2"/>
  <c r="BB205" i="2" s="1"/>
  <c r="BB202" i="2"/>
  <c r="BB203" i="2" s="1"/>
  <c r="BA202" i="2" s="1"/>
  <c r="AG144" i="2"/>
  <c r="AG142" i="2"/>
  <c r="AF141" i="2" s="1"/>
  <c r="AJ53" i="2"/>
  <c r="AI54" i="2" s="1"/>
  <c r="AJ51" i="2"/>
  <c r="AS178" i="2"/>
  <c r="AR179" i="2" s="1"/>
  <c r="AS176" i="2"/>
  <c r="AV83" i="2"/>
  <c r="AV85" i="2"/>
  <c r="AU86" i="2" s="1"/>
  <c r="AG46" i="2"/>
  <c r="AG44" i="2"/>
  <c r="AD137" i="2"/>
  <c r="AD135" i="2"/>
  <c r="AO170" i="2"/>
  <c r="AO168" i="2"/>
  <c r="AL59" i="2"/>
  <c r="AU188" i="2"/>
  <c r="AT187" i="2" s="1"/>
  <c r="AV191" i="2"/>
  <c r="AU190" i="2" s="1"/>
  <c r="AD35" i="2"/>
  <c r="AC36" i="2" s="1"/>
  <c r="AB37" i="2" s="1"/>
  <c r="AD33" i="2"/>
  <c r="BA98" i="2"/>
  <c r="AJ151" i="2"/>
  <c r="AI152" i="2" s="1"/>
  <c r="AJ149" i="2"/>
  <c r="BB102" i="2"/>
  <c r="BB103" i="2" s="1"/>
  <c r="BB100" i="2"/>
  <c r="BB101" i="2" s="1"/>
  <c r="AX93" i="2"/>
  <c r="AX91" i="2"/>
  <c r="AQ74" i="2"/>
  <c r="AP75" i="2" s="1"/>
  <c r="AQ72" i="2"/>
  <c r="AC130" i="2"/>
  <c r="AB131" i="2" s="1"/>
  <c r="AM160" i="2"/>
  <c r="AM158" i="2"/>
  <c r="BA200" i="2"/>
  <c r="AT185" i="2"/>
  <c r="AT183" i="2"/>
  <c r="BD152" i="2" l="1"/>
  <c r="AM66" i="2"/>
  <c r="AM162" i="2"/>
  <c r="AL163" i="2" s="1"/>
  <c r="DG151" i="2"/>
  <c r="DE151" i="2" a="1"/>
  <c r="DE151" i="2" s="1"/>
  <c r="DF151" i="2"/>
  <c r="DD51" i="2"/>
  <c r="DC51" i="2" s="1"/>
  <c r="DF50" i="2"/>
  <c r="DG50" i="2"/>
  <c r="DJ50" i="2"/>
  <c r="DE50" i="2" a="1"/>
  <c r="DE50" i="2" s="1"/>
  <c r="DH50" i="2" s="1"/>
  <c r="DD152" i="2"/>
  <c r="DC151" i="2"/>
  <c r="BA102" i="2"/>
  <c r="AF143" i="2"/>
  <c r="AE142" i="2" s="1"/>
  <c r="AC34" i="2"/>
  <c r="AB35" i="2" s="1"/>
  <c r="AA36" i="2" s="1"/>
  <c r="AC32" i="2"/>
  <c r="AK58" i="2"/>
  <c r="AF45" i="2"/>
  <c r="AF43" i="2"/>
  <c r="AS184" i="2"/>
  <c r="AS182" i="2"/>
  <c r="AI150" i="2"/>
  <c r="AH151" i="2" s="1"/>
  <c r="AI148" i="2"/>
  <c r="AU84" i="2"/>
  <c r="AT85" i="2" s="1"/>
  <c r="AU82" i="2"/>
  <c r="AM64" i="2"/>
  <c r="AL65" i="2" s="1"/>
  <c r="AM62" i="2"/>
  <c r="AP73" i="2"/>
  <c r="AO74" i="2" s="1"/>
  <c r="AP71" i="2"/>
  <c r="AT189" i="2"/>
  <c r="AN169" i="2"/>
  <c r="AN167" i="2"/>
  <c r="AR177" i="2"/>
  <c r="AQ178" i="2" s="1"/>
  <c r="AR175" i="2"/>
  <c r="AS186" i="2"/>
  <c r="AE140" i="2"/>
  <c r="AW194" i="2"/>
  <c r="AZ201" i="2"/>
  <c r="AZ199" i="2"/>
  <c r="AW92" i="2"/>
  <c r="AW90" i="2"/>
  <c r="BA100" i="2"/>
  <c r="AZ101" i="2" s="1"/>
  <c r="AC136" i="2"/>
  <c r="AC134" i="2"/>
  <c r="AI52" i="2"/>
  <c r="AH53" i="2" s="1"/>
  <c r="AI50" i="2"/>
  <c r="AL159" i="2"/>
  <c r="AL157" i="2"/>
  <c r="AZ97" i="2"/>
  <c r="BA204" i="2"/>
  <c r="AZ203" i="2" s="1"/>
  <c r="DH151" i="2" l="1"/>
  <c r="BD153" i="2"/>
  <c r="AZ99" i="2"/>
  <c r="AY100" i="2" s="1"/>
  <c r="AL161" i="2"/>
  <c r="AK162" i="2" s="1"/>
  <c r="DF152" i="2"/>
  <c r="DE152" i="2" a="1"/>
  <c r="DE152" i="2" s="1"/>
  <c r="DH152" i="2" s="1"/>
  <c r="DG152" i="2"/>
  <c r="DD52" i="2"/>
  <c r="DC52" i="2" s="1"/>
  <c r="DF51" i="2"/>
  <c r="DG51" i="2"/>
  <c r="DD153" i="2"/>
  <c r="DC152" i="2"/>
  <c r="DJ51" i="2"/>
  <c r="DE51" i="2" a="1"/>
  <c r="DE51" i="2" s="1"/>
  <c r="DH51" i="2" s="1"/>
  <c r="AY202" i="2"/>
  <c r="AE44" i="2"/>
  <c r="AE42" i="2"/>
  <c r="AO72" i="2"/>
  <c r="AN73" i="2" s="1"/>
  <c r="AO70" i="2"/>
  <c r="AR183" i="2"/>
  <c r="AR181" i="2"/>
  <c r="AB135" i="2"/>
  <c r="AB133" i="2"/>
  <c r="AR185" i="2"/>
  <c r="AJ57" i="2"/>
  <c r="AV193" i="2"/>
  <c r="AK158" i="2"/>
  <c r="AK156" i="2"/>
  <c r="AQ176" i="2"/>
  <c r="AP177" i="2" s="1"/>
  <c r="AQ174" i="2"/>
  <c r="AL63" i="2"/>
  <c r="AK64" i="2" s="1"/>
  <c r="AL61" i="2"/>
  <c r="AD141" i="2"/>
  <c r="AD139" i="2"/>
  <c r="AB33" i="2"/>
  <c r="AA34" i="2" s="1"/>
  <c r="Z35" i="2" s="1"/>
  <c r="AB31" i="2"/>
  <c r="AY96" i="2"/>
  <c r="AY98" i="2"/>
  <c r="AM168" i="2"/>
  <c r="AM166" i="2"/>
  <c r="AT83" i="2"/>
  <c r="AS84" i="2" s="1"/>
  <c r="AT81" i="2"/>
  <c r="AH51" i="2"/>
  <c r="AG52" i="2" s="1"/>
  <c r="AH49" i="2"/>
  <c r="AV91" i="2"/>
  <c r="AV89" i="2"/>
  <c r="AY200" i="2"/>
  <c r="AX201" i="2" s="1"/>
  <c r="AY198" i="2"/>
  <c r="AH149" i="2"/>
  <c r="AG150" i="2" s="1"/>
  <c r="AH147" i="2"/>
  <c r="AS188" i="2"/>
  <c r="BD154" i="2" l="1"/>
  <c r="AK160" i="2"/>
  <c r="AJ161" i="2" s="1"/>
  <c r="DE153" i="2" a="1"/>
  <c r="DE153" i="2" s="1"/>
  <c r="DF153" i="2"/>
  <c r="DG153" i="2"/>
  <c r="DD53" i="2"/>
  <c r="DC53" i="2" s="1"/>
  <c r="DF52" i="2"/>
  <c r="DG52" i="2"/>
  <c r="DJ52" i="2"/>
  <c r="DE52" i="2" a="1"/>
  <c r="DE52" i="2" s="1"/>
  <c r="DH52" i="2" s="1"/>
  <c r="DD154" i="2"/>
  <c r="DC153" i="2"/>
  <c r="AX99" i="2"/>
  <c r="AQ184" i="2"/>
  <c r="AS82" i="2"/>
  <c r="AR83" i="2" s="1"/>
  <c r="AS80" i="2"/>
  <c r="AN71" i="2"/>
  <c r="AM72" i="2" s="1"/>
  <c r="AN69" i="2"/>
  <c r="AJ157" i="2"/>
  <c r="AJ155" i="2"/>
  <c r="AG50" i="2"/>
  <c r="AF51" i="2" s="1"/>
  <c r="AG48" i="2"/>
  <c r="AL167" i="2"/>
  <c r="AL165" i="2"/>
  <c r="AC140" i="2"/>
  <c r="AC138" i="2"/>
  <c r="AB137" i="2" s="1"/>
  <c r="AA136" i="2" s="1"/>
  <c r="AA134" i="2"/>
  <c r="AA132" i="2"/>
  <c r="AU192" i="2"/>
  <c r="AD43" i="2"/>
  <c r="AD41" i="2"/>
  <c r="AK62" i="2"/>
  <c r="AJ63" i="2" s="1"/>
  <c r="AK60" i="2"/>
  <c r="AR187" i="2"/>
  <c r="AQ186" i="2" s="1"/>
  <c r="AX199" i="2"/>
  <c r="AW200" i="2" s="1"/>
  <c r="AX197" i="2"/>
  <c r="AX97" i="2"/>
  <c r="AX95" i="2"/>
  <c r="AU90" i="2"/>
  <c r="AU88" i="2"/>
  <c r="AG148" i="2"/>
  <c r="AF149" i="2" s="1"/>
  <c r="AG146" i="2"/>
  <c r="AA32" i="2"/>
  <c r="Z33" i="2" s="1"/>
  <c r="Y34" i="2" s="1"/>
  <c r="AA30" i="2"/>
  <c r="AP175" i="2"/>
  <c r="AO176" i="2" s="1"/>
  <c r="AP173" i="2"/>
  <c r="AI56" i="2"/>
  <c r="AQ182" i="2"/>
  <c r="AQ180" i="2"/>
  <c r="AP179" i="2" s="1"/>
  <c r="AO178" i="2" s="1"/>
  <c r="DH153" i="2" l="1"/>
  <c r="BD155" i="2"/>
  <c r="AW98" i="2"/>
  <c r="AJ159" i="2"/>
  <c r="AI160" i="2" s="1"/>
  <c r="DE154" i="2" a="1"/>
  <c r="DE154" i="2" s="1"/>
  <c r="DF154" i="2"/>
  <c r="DG154" i="2"/>
  <c r="DD54" i="2"/>
  <c r="DC54" i="2" s="1"/>
  <c r="DG53" i="2"/>
  <c r="DF53" i="2"/>
  <c r="DD155" i="2"/>
  <c r="DC154" i="2"/>
  <c r="DJ53" i="2"/>
  <c r="DE53" i="2" a="1"/>
  <c r="DE53" i="2" s="1"/>
  <c r="DH53" i="2" s="1"/>
  <c r="Z31" i="2"/>
  <c r="Y32" i="2" s="1"/>
  <c r="X33" i="2" s="1"/>
  <c r="Z133" i="2"/>
  <c r="AM70" i="2"/>
  <c r="AL71" i="2" s="1"/>
  <c r="AM68" i="2"/>
  <c r="AN177" i="2"/>
  <c r="AF49" i="2"/>
  <c r="AE50" i="2" s="1"/>
  <c r="AF47" i="2"/>
  <c r="AC42" i="2"/>
  <c r="AC40" i="2"/>
  <c r="AF145" i="2"/>
  <c r="AF147" i="2"/>
  <c r="AE148" i="2" s="1"/>
  <c r="Z135" i="2"/>
  <c r="AR81" i="2"/>
  <c r="AQ82" i="2" s="1"/>
  <c r="AR79" i="2"/>
  <c r="AW96" i="2"/>
  <c r="AV97" i="2" s="1"/>
  <c r="AW94" i="2"/>
  <c r="AH55" i="2"/>
  <c r="AT191" i="2"/>
  <c r="AS190" i="2" s="1"/>
  <c r="AI156" i="2"/>
  <c r="AI154" i="2"/>
  <c r="AP185" i="2"/>
  <c r="AW198" i="2"/>
  <c r="AV199" i="2" s="1"/>
  <c r="AW196" i="2"/>
  <c r="AP181" i="2"/>
  <c r="AP183" i="2"/>
  <c r="AB139" i="2"/>
  <c r="AA138" i="2" s="1"/>
  <c r="AT89" i="2"/>
  <c r="AT87" i="2"/>
  <c r="AO174" i="2"/>
  <c r="AN175" i="2" s="1"/>
  <c r="AM176" i="2" s="1"/>
  <c r="AO172" i="2"/>
  <c r="AJ61" i="2"/>
  <c r="AI62" i="2" s="1"/>
  <c r="AJ59" i="2"/>
  <c r="AK166" i="2"/>
  <c r="AK164" i="2"/>
  <c r="DH154" i="2" l="1"/>
  <c r="Y134" i="2"/>
  <c r="BD156" i="2"/>
  <c r="AI158" i="2"/>
  <c r="AH159" i="2" s="1"/>
  <c r="DG155" i="2"/>
  <c r="DE155" i="2" a="1"/>
  <c r="DE155" i="2" s="1"/>
  <c r="DF155" i="2"/>
  <c r="DD55" i="2"/>
  <c r="DC55" i="2" s="1"/>
  <c r="DG54" i="2"/>
  <c r="DF54" i="2"/>
  <c r="DJ54" i="2"/>
  <c r="DE54" i="2" a="1"/>
  <c r="DE54" i="2" s="1"/>
  <c r="DH54" i="2" s="1"/>
  <c r="DD156" i="2"/>
  <c r="DC155" i="2"/>
  <c r="AO184" i="2"/>
  <c r="AE146" i="2"/>
  <c r="AD147" i="2" s="1"/>
  <c r="AE144" i="2"/>
  <c r="AV95" i="2"/>
  <c r="AU96" i="2" s="1"/>
  <c r="AV93" i="2"/>
  <c r="AO182" i="2"/>
  <c r="AN183" i="2" s="1"/>
  <c r="AR189" i="2"/>
  <c r="AL69" i="2"/>
  <c r="AK70" i="2" s="1"/>
  <c r="AL67" i="2"/>
  <c r="AS88" i="2"/>
  <c r="AS86" i="2"/>
  <c r="AV197" i="2"/>
  <c r="AU198" i="2" s="1"/>
  <c r="AV195" i="2"/>
  <c r="AQ80" i="2"/>
  <c r="AQ78" i="2"/>
  <c r="AP77" i="2" s="1"/>
  <c r="AG54" i="2"/>
  <c r="AB41" i="2"/>
  <c r="AB39" i="2"/>
  <c r="AI60" i="2"/>
  <c r="AH61" i="2" s="1"/>
  <c r="AI58" i="2"/>
  <c r="AJ165" i="2"/>
  <c r="AJ163" i="2"/>
  <c r="AO180" i="2"/>
  <c r="AN173" i="2"/>
  <c r="AM174" i="2" s="1"/>
  <c r="AL175" i="2" s="1"/>
  <c r="AN171" i="2"/>
  <c r="AH155" i="2"/>
  <c r="AH153" i="2"/>
  <c r="Z137" i="2"/>
  <c r="Y136" i="2" s="1"/>
  <c r="AE48" i="2"/>
  <c r="AD49" i="2" s="1"/>
  <c r="AE46" i="2"/>
  <c r="DH155" i="2" l="1"/>
  <c r="BD157" i="2"/>
  <c r="AH157" i="2"/>
  <c r="AG158" i="2" s="1"/>
  <c r="DE156" i="2" a="1"/>
  <c r="DE156" i="2" s="1"/>
  <c r="DH156" i="2" s="1"/>
  <c r="DF156" i="2"/>
  <c r="DG156" i="2"/>
  <c r="DD56" i="2"/>
  <c r="DC56" i="2" s="1"/>
  <c r="DF55" i="2"/>
  <c r="DG55" i="2"/>
  <c r="DD157" i="2"/>
  <c r="DC156" i="2"/>
  <c r="DJ55" i="2"/>
  <c r="DE55" i="2" a="1"/>
  <c r="DE55" i="2" s="1"/>
  <c r="DH55" i="2" s="1"/>
  <c r="AF53" i="2"/>
  <c r="AR87" i="2"/>
  <c r="AR85" i="2"/>
  <c r="AU94" i="2"/>
  <c r="AT95" i="2" s="1"/>
  <c r="AU92" i="2"/>
  <c r="AN181" i="2"/>
  <c r="AM182" i="2" s="1"/>
  <c r="AN179" i="2"/>
  <c r="AH59" i="2"/>
  <c r="AG60" i="2" s="1"/>
  <c r="AH57" i="2"/>
  <c r="AK68" i="2"/>
  <c r="AJ69" i="2" s="1"/>
  <c r="AK66" i="2"/>
  <c r="AO76" i="2"/>
  <c r="AI164" i="2"/>
  <c r="AI162" i="2"/>
  <c r="AA40" i="2"/>
  <c r="AA38" i="2"/>
  <c r="AP79" i="2"/>
  <c r="AO78" i="2" s="1"/>
  <c r="AP81" i="2"/>
  <c r="AQ188" i="2"/>
  <c r="AD143" i="2"/>
  <c r="AD145" i="2"/>
  <c r="AC146" i="2" s="1"/>
  <c r="AD47" i="2"/>
  <c r="AC48" i="2" s="1"/>
  <c r="AD45" i="2"/>
  <c r="AG154" i="2"/>
  <c r="AG152" i="2"/>
  <c r="AU196" i="2"/>
  <c r="AT197" i="2" s="1"/>
  <c r="AU194" i="2"/>
  <c r="AM172" i="2"/>
  <c r="AL173" i="2" s="1"/>
  <c r="AK174" i="2" s="1"/>
  <c r="AM170" i="2"/>
  <c r="X135" i="2"/>
  <c r="BD158" i="2" l="1"/>
  <c r="AG156" i="2"/>
  <c r="AF157" i="2" s="1"/>
  <c r="DE157" i="2" a="1"/>
  <c r="DE157" i="2" s="1"/>
  <c r="DG157" i="2"/>
  <c r="DF157" i="2"/>
  <c r="DD57" i="2"/>
  <c r="DC57" i="2" s="1"/>
  <c r="DG56" i="2"/>
  <c r="DF56" i="2"/>
  <c r="DJ56" i="2"/>
  <c r="DE56" i="2" a="1"/>
  <c r="DE56" i="2" s="1"/>
  <c r="DH56" i="2" s="1"/>
  <c r="DD158" i="2"/>
  <c r="DC157" i="2"/>
  <c r="AT93" i="2"/>
  <c r="AS94" i="2" s="1"/>
  <c r="AT91" i="2"/>
  <c r="AH163" i="2"/>
  <c r="AH161" i="2"/>
  <c r="AT195" i="2"/>
  <c r="AS196" i="2" s="1"/>
  <c r="AT193" i="2"/>
  <c r="AC144" i="2"/>
  <c r="AB145" i="2" s="1"/>
  <c r="AC142" i="2"/>
  <c r="AP187" i="2"/>
  <c r="AQ86" i="2"/>
  <c r="AQ84" i="2"/>
  <c r="AN77" i="2"/>
  <c r="AN75" i="2"/>
  <c r="AF153" i="2"/>
  <c r="AF151" i="2"/>
  <c r="AO80" i="2"/>
  <c r="AG58" i="2"/>
  <c r="AF59" i="2" s="1"/>
  <c r="AG56" i="2"/>
  <c r="AE52" i="2"/>
  <c r="AL171" i="2"/>
  <c r="AK172" i="2" s="1"/>
  <c r="AJ173" i="2" s="1"/>
  <c r="AL169" i="2"/>
  <c r="AC46" i="2"/>
  <c r="AB47" i="2" s="1"/>
  <c r="AC44" i="2"/>
  <c r="Z39" i="2"/>
  <c r="Z37" i="2"/>
  <c r="AJ67" i="2"/>
  <c r="AI68" i="2" s="1"/>
  <c r="AJ65" i="2"/>
  <c r="AM180" i="2"/>
  <c r="AL181" i="2" s="1"/>
  <c r="AM178" i="2"/>
  <c r="DH157" i="2" l="1"/>
  <c r="BD159" i="2"/>
  <c r="AF155" i="2"/>
  <c r="AE156" i="2" s="1"/>
  <c r="DF158" i="2"/>
  <c r="DG158" i="2"/>
  <c r="DE158" i="2" a="1"/>
  <c r="DE158" i="2" s="1"/>
  <c r="DH158" i="2" s="1"/>
  <c r="DD58" i="2"/>
  <c r="DC58" i="2" s="1"/>
  <c r="DF57" i="2"/>
  <c r="DG57" i="2"/>
  <c r="DD159" i="2"/>
  <c r="DC158" i="2"/>
  <c r="DJ57" i="2"/>
  <c r="DE57" i="2" a="1"/>
  <c r="DE57" i="2" s="1"/>
  <c r="DH57" i="2" s="1"/>
  <c r="AG162" i="2"/>
  <c r="AG160" i="2"/>
  <c r="AD51" i="2"/>
  <c r="AO186" i="2"/>
  <c r="AB45" i="2"/>
  <c r="AA46" i="2" s="1"/>
  <c r="AB43" i="2"/>
  <c r="AS92" i="2"/>
  <c r="AR93" i="2" s="1"/>
  <c r="AS90" i="2"/>
  <c r="AF57" i="2"/>
  <c r="AE58" i="2" s="1"/>
  <c r="AF55" i="2"/>
  <c r="AM76" i="2"/>
  <c r="AM74" i="2"/>
  <c r="AB143" i="2"/>
  <c r="AA144" i="2" s="1"/>
  <c r="AB141" i="2"/>
  <c r="AK170" i="2"/>
  <c r="AJ171" i="2" s="1"/>
  <c r="AI172" i="2" s="1"/>
  <c r="AK168" i="2"/>
  <c r="AS192" i="2"/>
  <c r="AS194" i="2"/>
  <c r="AR195" i="2" s="1"/>
  <c r="Y38" i="2"/>
  <c r="Y36" i="2"/>
  <c r="AL179" i="2"/>
  <c r="AK180" i="2" s="1"/>
  <c r="AL177" i="2"/>
  <c r="AI66" i="2"/>
  <c r="AH67" i="2" s="1"/>
  <c r="AI64" i="2"/>
  <c r="AE152" i="2"/>
  <c r="AE150" i="2"/>
  <c r="AP85" i="2"/>
  <c r="AP83" i="2"/>
  <c r="AN79" i="2"/>
  <c r="AM78" i="2" s="1"/>
  <c r="BD160" i="2" l="1"/>
  <c r="AE154" i="2"/>
  <c r="AD155" i="2" s="1"/>
  <c r="DE159" i="2" a="1"/>
  <c r="DE159" i="2" s="1"/>
  <c r="DF159" i="2"/>
  <c r="DG159" i="2"/>
  <c r="DD59" i="2"/>
  <c r="DC59" i="2" s="1"/>
  <c r="DF58" i="2"/>
  <c r="DG58" i="2"/>
  <c r="DJ58" i="2"/>
  <c r="DE58" i="2" a="1"/>
  <c r="DE58" i="2" s="1"/>
  <c r="DD160" i="2"/>
  <c r="DC159" i="2"/>
  <c r="AC50" i="2"/>
  <c r="X37" i="2"/>
  <c r="X35" i="2"/>
  <c r="AR91" i="2"/>
  <c r="AQ92" i="2" s="1"/>
  <c r="AR89" i="2"/>
  <c r="AH65" i="2"/>
  <c r="AG66" i="2" s="1"/>
  <c r="AH63" i="2"/>
  <c r="AA140" i="2"/>
  <c r="AA142" i="2"/>
  <c r="Z143" i="2" s="1"/>
  <c r="AR193" i="2"/>
  <c r="AQ194" i="2" s="1"/>
  <c r="AR191" i="2"/>
  <c r="AA44" i="2"/>
  <c r="Z45" i="2" s="1"/>
  <c r="AA42" i="2"/>
  <c r="AF161" i="2"/>
  <c r="AF159" i="2"/>
  <c r="AK178" i="2"/>
  <c r="AJ179" i="2" s="1"/>
  <c r="AK176" i="2"/>
  <c r="AL75" i="2"/>
  <c r="AL73" i="2"/>
  <c r="AD151" i="2"/>
  <c r="AD149" i="2"/>
  <c r="AO84" i="2"/>
  <c r="AO82" i="2"/>
  <c r="AL77" i="2"/>
  <c r="AN185" i="2"/>
  <c r="AJ169" i="2"/>
  <c r="AI170" i="2" s="1"/>
  <c r="AH171" i="2" s="1"/>
  <c r="AJ167" i="2"/>
  <c r="AE56" i="2"/>
  <c r="AD57" i="2" s="1"/>
  <c r="AE54" i="2"/>
  <c r="DH159" i="2" l="1"/>
  <c r="DH58" i="2"/>
  <c r="BD161" i="2"/>
  <c r="AD153" i="2"/>
  <c r="AC154" i="2" s="1"/>
  <c r="DE160" i="2" a="1"/>
  <c r="DE160" i="2" s="1"/>
  <c r="DF160" i="2"/>
  <c r="DG160" i="2"/>
  <c r="DD60" i="2"/>
  <c r="DC60" i="2" s="1"/>
  <c r="DF59" i="2"/>
  <c r="DG59" i="2"/>
  <c r="DD161" i="2"/>
  <c r="DC160" i="2"/>
  <c r="DJ59" i="2"/>
  <c r="DE59" i="2" a="1"/>
  <c r="DE59" i="2" s="1"/>
  <c r="DH59" i="2" s="1"/>
  <c r="AN83" i="2"/>
  <c r="AN81" i="2"/>
  <c r="AJ177" i="2"/>
  <c r="AI178" i="2" s="1"/>
  <c r="AJ175" i="2"/>
  <c r="AE160" i="2"/>
  <c r="AE158" i="2"/>
  <c r="W36" i="2"/>
  <c r="W34" i="2"/>
  <c r="AI168" i="2"/>
  <c r="AH169" i="2" s="1"/>
  <c r="AG170" i="2" s="1"/>
  <c r="AI166" i="2"/>
  <c r="Z141" i="2"/>
  <c r="Y142" i="2" s="1"/>
  <c r="Z139" i="2"/>
  <c r="AC150" i="2"/>
  <c r="AC148" i="2"/>
  <c r="AM184" i="2"/>
  <c r="Z43" i="2"/>
  <c r="Y44" i="2" s="1"/>
  <c r="Z41" i="2"/>
  <c r="AG64" i="2"/>
  <c r="AF65" i="2" s="1"/>
  <c r="AG62" i="2"/>
  <c r="AB49" i="2"/>
  <c r="AK74" i="2"/>
  <c r="AK72" i="2"/>
  <c r="AJ71" i="2" s="1"/>
  <c r="AQ90" i="2"/>
  <c r="AP91" i="2" s="1"/>
  <c r="AQ88" i="2"/>
  <c r="AD55" i="2"/>
  <c r="AC56" i="2" s="1"/>
  <c r="AD53" i="2"/>
  <c r="AK76" i="2"/>
  <c r="AQ192" i="2"/>
  <c r="AP193" i="2" s="1"/>
  <c r="AQ190" i="2"/>
  <c r="DH160" i="2" l="1"/>
  <c r="BD162" i="2"/>
  <c r="AC152" i="2"/>
  <c r="AB153" i="2" s="1"/>
  <c r="DE161" i="2" a="1"/>
  <c r="DE161" i="2" s="1"/>
  <c r="DF161" i="2"/>
  <c r="DG161" i="2"/>
  <c r="DD61" i="2"/>
  <c r="DC61" i="2" s="1"/>
  <c r="DF60" i="2"/>
  <c r="DG60" i="2"/>
  <c r="DJ60" i="2"/>
  <c r="DE60" i="2" a="1"/>
  <c r="DE60" i="2" s="1"/>
  <c r="DH60" i="2" s="1"/>
  <c r="DD162" i="2"/>
  <c r="DC161" i="2"/>
  <c r="V35" i="2"/>
  <c r="AD159" i="2"/>
  <c r="AD157" i="2"/>
  <c r="AC54" i="2"/>
  <c r="AB55" i="2" s="1"/>
  <c r="AC52" i="2"/>
  <c r="AL183" i="2"/>
  <c r="AP89" i="2"/>
  <c r="AO90" i="2" s="1"/>
  <c r="AP87" i="2"/>
  <c r="AA48" i="2"/>
  <c r="AB149" i="2"/>
  <c r="AB147" i="2"/>
  <c r="AH167" i="2"/>
  <c r="AG168" i="2" s="1"/>
  <c r="AF169" i="2" s="1"/>
  <c r="AH165" i="2"/>
  <c r="AI176" i="2"/>
  <c r="AH177" i="2" s="1"/>
  <c r="AI174" i="2"/>
  <c r="AI70" i="2"/>
  <c r="AP191" i="2"/>
  <c r="AO192" i="2" s="1"/>
  <c r="AP189" i="2"/>
  <c r="AM82" i="2"/>
  <c r="AM80" i="2"/>
  <c r="AF63" i="2"/>
  <c r="AE64" i="2" s="1"/>
  <c r="AF61" i="2"/>
  <c r="AJ73" i="2"/>
  <c r="AI72" i="2" s="1"/>
  <c r="AJ75" i="2"/>
  <c r="Y42" i="2"/>
  <c r="X43" i="2" s="1"/>
  <c r="Y40" i="2"/>
  <c r="Y138" i="2"/>
  <c r="Y140" i="2"/>
  <c r="X141" i="2" s="1"/>
  <c r="DH161" i="2" l="1"/>
  <c r="BD163" i="2"/>
  <c r="AB151" i="2"/>
  <c r="AA152" i="2" s="1"/>
  <c r="DF162" i="2"/>
  <c r="DG162" i="2"/>
  <c r="DE162" i="2" a="1"/>
  <c r="DE162" i="2" s="1"/>
  <c r="DH162" i="2" s="1"/>
  <c r="DD62" i="2"/>
  <c r="DC62" i="2" s="1"/>
  <c r="DG61" i="2"/>
  <c r="DF61" i="2"/>
  <c r="DD163" i="2"/>
  <c r="DC162" i="2"/>
  <c r="DJ61" i="2"/>
  <c r="DE61" i="2" a="1"/>
  <c r="DE61" i="2" s="1"/>
  <c r="DH61" i="2" s="1"/>
  <c r="AB53" i="2"/>
  <c r="AA54" i="2" s="1"/>
  <c r="AB51" i="2"/>
  <c r="X41" i="2"/>
  <c r="W42" i="2" s="1"/>
  <c r="X39" i="2"/>
  <c r="Z47" i="2"/>
  <c r="AI74" i="2"/>
  <c r="AH73" i="2" s="1"/>
  <c r="AO190" i="2"/>
  <c r="AN191" i="2" s="1"/>
  <c r="AO188" i="2"/>
  <c r="AO88" i="2"/>
  <c r="AN89" i="2" s="1"/>
  <c r="AO86" i="2"/>
  <c r="AC158" i="2"/>
  <c r="AC156" i="2"/>
  <c r="AE62" i="2"/>
  <c r="AD63" i="2" s="1"/>
  <c r="AE60" i="2"/>
  <c r="AG166" i="2"/>
  <c r="AF167" i="2" s="1"/>
  <c r="AE168" i="2" s="1"/>
  <c r="AG164" i="2"/>
  <c r="AK182" i="2"/>
  <c r="X139" i="2"/>
  <c r="W140" i="2" s="1"/>
  <c r="X137" i="2"/>
  <c r="AH175" i="2"/>
  <c r="AG176" i="2" s="1"/>
  <c r="AH173" i="2"/>
  <c r="AL81" i="2"/>
  <c r="AL79" i="2"/>
  <c r="AH71" i="2"/>
  <c r="AH69" i="2"/>
  <c r="AA148" i="2"/>
  <c r="AA146" i="2"/>
  <c r="BD164" i="2" l="1"/>
  <c r="AA150" i="2"/>
  <c r="Z151" i="2" s="1"/>
  <c r="DG163" i="2"/>
  <c r="DE163" i="2" a="1"/>
  <c r="DE163" i="2" s="1"/>
  <c r="DF163" i="2"/>
  <c r="DD63" i="2"/>
  <c r="DC63" i="2" s="1"/>
  <c r="DG62" i="2"/>
  <c r="DF62" i="2"/>
  <c r="DJ62" i="2"/>
  <c r="DE62" i="2" a="1"/>
  <c r="DE62" i="2" s="1"/>
  <c r="DD164" i="2"/>
  <c r="DC163" i="2"/>
  <c r="Z147" i="2"/>
  <c r="Z145" i="2"/>
  <c r="AN87" i="2"/>
  <c r="AM88" i="2" s="1"/>
  <c r="AN85" i="2"/>
  <c r="W40" i="2"/>
  <c r="V41" i="2" s="1"/>
  <c r="W38" i="2"/>
  <c r="AF165" i="2"/>
  <c r="AE166" i="2" s="1"/>
  <c r="AD167" i="2" s="1"/>
  <c r="AF163" i="2"/>
  <c r="AN189" i="2"/>
  <c r="AM190" i="2" s="1"/>
  <c r="AN187" i="2"/>
  <c r="AG70" i="2"/>
  <c r="AG68" i="2"/>
  <c r="AG72" i="2"/>
  <c r="AD61" i="2"/>
  <c r="AC62" i="2" s="1"/>
  <c r="AD59" i="2"/>
  <c r="W138" i="2"/>
  <c r="V139" i="2" s="1"/>
  <c r="W136" i="2"/>
  <c r="AA52" i="2"/>
  <c r="Z53" i="2" s="1"/>
  <c r="AA50" i="2"/>
  <c r="AK80" i="2"/>
  <c r="AK78" i="2"/>
  <c r="Y46" i="2"/>
  <c r="AB157" i="2"/>
  <c r="AB155" i="2"/>
  <c r="AG174" i="2"/>
  <c r="AF175" i="2" s="1"/>
  <c r="AG172" i="2"/>
  <c r="AJ181" i="2"/>
  <c r="DH163" i="2" l="1"/>
  <c r="DH62" i="2"/>
  <c r="BD165" i="2"/>
  <c r="Z149" i="2"/>
  <c r="Y150" i="2" s="1"/>
  <c r="DE164" i="2" a="1"/>
  <c r="DE164" i="2" s="1"/>
  <c r="DF164" i="2"/>
  <c r="DG164" i="2"/>
  <c r="DD64" i="2"/>
  <c r="DC64" i="2" s="1"/>
  <c r="DF63" i="2"/>
  <c r="DG63" i="2"/>
  <c r="DD165" i="2"/>
  <c r="DC164" i="2"/>
  <c r="DJ63" i="2"/>
  <c r="DE63" i="2" a="1"/>
  <c r="DE63" i="2" s="1"/>
  <c r="DH63" i="2" s="1"/>
  <c r="V137" i="2"/>
  <c r="U138" i="2" s="1"/>
  <c r="AF69" i="2"/>
  <c r="AF67" i="2"/>
  <c r="AF71" i="2"/>
  <c r="V39" i="2"/>
  <c r="U40" i="2" s="1"/>
  <c r="V37" i="2"/>
  <c r="AF173" i="2"/>
  <c r="AE174" i="2" s="1"/>
  <c r="AF171" i="2"/>
  <c r="X45" i="2"/>
  <c r="AJ79" i="2"/>
  <c r="AJ77" i="2"/>
  <c r="AM188" i="2"/>
  <c r="AL189" i="2" s="1"/>
  <c r="AM186" i="2"/>
  <c r="AM86" i="2"/>
  <c r="AL87" i="2" s="1"/>
  <c r="AM84" i="2"/>
  <c r="AI180" i="2"/>
  <c r="AA156" i="2"/>
  <c r="AA154" i="2"/>
  <c r="Z51" i="2"/>
  <c r="Y52" i="2" s="1"/>
  <c r="Z49" i="2"/>
  <c r="AC60" i="2"/>
  <c r="AB61" i="2" s="1"/>
  <c r="AC58" i="2"/>
  <c r="Y146" i="2"/>
  <c r="Y144" i="2"/>
  <c r="AE164" i="2"/>
  <c r="AD165" i="2" s="1"/>
  <c r="AC166" i="2" s="1"/>
  <c r="AE162" i="2"/>
  <c r="DH164" i="2" l="1"/>
  <c r="BD166" i="2"/>
  <c r="Y148" i="2"/>
  <c r="X149" i="2" s="1"/>
  <c r="DE165" i="2" a="1"/>
  <c r="DE165" i="2" s="1"/>
  <c r="DF165" i="2"/>
  <c r="DG165" i="2"/>
  <c r="DD65" i="2"/>
  <c r="DG64" i="2"/>
  <c r="DF64" i="2"/>
  <c r="DJ64" i="2"/>
  <c r="DE64" i="2" a="1"/>
  <c r="DE64" i="2" s="1"/>
  <c r="DH64" i="2" s="1"/>
  <c r="DD166" i="2"/>
  <c r="DC165" i="2"/>
  <c r="AI78" i="2"/>
  <c r="AI76" i="2"/>
  <c r="U38" i="2"/>
  <c r="T39" i="2" s="1"/>
  <c r="U36" i="2"/>
  <c r="W44" i="2"/>
  <c r="AH179" i="2"/>
  <c r="AD163" i="2"/>
  <c r="AC164" i="2" s="1"/>
  <c r="AB165" i="2" s="1"/>
  <c r="AD161" i="2"/>
  <c r="Y50" i="2"/>
  <c r="X51" i="2" s="1"/>
  <c r="Y48" i="2"/>
  <c r="AL85" i="2"/>
  <c r="AK86" i="2" s="1"/>
  <c r="AL83" i="2"/>
  <c r="AB59" i="2"/>
  <c r="AA60" i="2" s="1"/>
  <c r="AB57" i="2"/>
  <c r="AE68" i="2"/>
  <c r="AE66" i="2"/>
  <c r="AL187" i="2"/>
  <c r="AK188" i="2" s="1"/>
  <c r="AL185" i="2"/>
  <c r="AE70" i="2"/>
  <c r="X145" i="2"/>
  <c r="X143" i="2"/>
  <c r="Z155" i="2"/>
  <c r="Z153" i="2"/>
  <c r="AE172" i="2"/>
  <c r="AD173" i="2" s="1"/>
  <c r="AE170" i="2"/>
  <c r="DH165" i="2" l="1"/>
  <c r="T37" i="2"/>
  <c r="S38" i="2" s="1"/>
  <c r="DC65" i="2"/>
  <c r="DD66" i="2"/>
  <c r="BD167" i="2"/>
  <c r="X147" i="2"/>
  <c r="W148" i="2" s="1"/>
  <c r="DF166" i="2"/>
  <c r="DG166" i="2"/>
  <c r="DE166" i="2" a="1"/>
  <c r="DE166" i="2" s="1"/>
  <c r="DC66" i="2"/>
  <c r="DF65" i="2"/>
  <c r="DG65" i="2"/>
  <c r="DD167" i="2"/>
  <c r="DC166" i="2"/>
  <c r="DJ65" i="2"/>
  <c r="DE65" i="2" a="1"/>
  <c r="DE65" i="2" s="1"/>
  <c r="DH65" i="2" s="1"/>
  <c r="AD69" i="2"/>
  <c r="AA58" i="2"/>
  <c r="Z59" i="2" s="1"/>
  <c r="AA56" i="2"/>
  <c r="AG178" i="2"/>
  <c r="AK84" i="2"/>
  <c r="AJ85" i="2" s="1"/>
  <c r="AK82" i="2"/>
  <c r="AK186" i="2"/>
  <c r="AJ187" i="2" s="1"/>
  <c r="AK184" i="2"/>
  <c r="V43" i="2"/>
  <c r="X49" i="2"/>
  <c r="W50" i="2" s="1"/>
  <c r="X47" i="2"/>
  <c r="AD171" i="2"/>
  <c r="AC172" i="2" s="1"/>
  <c r="AD169" i="2"/>
  <c r="AH77" i="2"/>
  <c r="AH75" i="2"/>
  <c r="W144" i="2"/>
  <c r="W142" i="2"/>
  <c r="Y154" i="2"/>
  <c r="Y152" i="2"/>
  <c r="AD67" i="2"/>
  <c r="AD65" i="2"/>
  <c r="AC162" i="2"/>
  <c r="AB163" i="2" s="1"/>
  <c r="AA164" i="2" s="1"/>
  <c r="AC160" i="2"/>
  <c r="DH166" i="2" l="1"/>
  <c r="DD67" i="2"/>
  <c r="DJ66" i="2"/>
  <c r="DE66" i="2" a="1"/>
  <c r="DE66" i="2" s="1"/>
  <c r="DF66" i="2"/>
  <c r="DG66" i="2"/>
  <c r="BD168" i="2"/>
  <c r="BD169" i="2"/>
  <c r="F18" i="2" s="1"/>
  <c r="F19" i="2" s="1"/>
  <c r="C20" i="2" s="1"/>
  <c r="AC68" i="2"/>
  <c r="W146" i="2"/>
  <c r="V147" i="2" s="1"/>
  <c r="DE167" i="2" a="1"/>
  <c r="DE167" i="2" s="1"/>
  <c r="DG167" i="2"/>
  <c r="DF167" i="2"/>
  <c r="DC67" i="2"/>
  <c r="DD168" i="2"/>
  <c r="DD169" i="2" s="1"/>
  <c r="DC167" i="2"/>
  <c r="U42" i="2"/>
  <c r="AB161" i="2"/>
  <c r="AA162" i="2" s="1"/>
  <c r="Z163" i="2" s="1"/>
  <c r="AB159" i="2"/>
  <c r="AJ185" i="2"/>
  <c r="AI186" i="2" s="1"/>
  <c r="AJ183" i="2"/>
  <c r="AF177" i="2"/>
  <c r="AC66" i="2"/>
  <c r="AB67" i="2" s="1"/>
  <c r="AC64" i="2"/>
  <c r="AC170" i="2"/>
  <c r="AB171" i="2" s="1"/>
  <c r="AC168" i="2"/>
  <c r="X153" i="2"/>
  <c r="X151" i="2"/>
  <c r="V143" i="2"/>
  <c r="V141" i="2"/>
  <c r="W48" i="2"/>
  <c r="V49" i="2" s="1"/>
  <c r="W46" i="2"/>
  <c r="Z57" i="2"/>
  <c r="Y58" i="2" s="1"/>
  <c r="Z55" i="2"/>
  <c r="AJ83" i="2"/>
  <c r="AI84" i="2" s="1"/>
  <c r="AJ81" i="2"/>
  <c r="AG76" i="2"/>
  <c r="AG74" i="2"/>
  <c r="DD170" i="2" l="1"/>
  <c r="DF169" i="2"/>
  <c r="DG169" i="2"/>
  <c r="DE169" i="2" a="1"/>
  <c r="DE169" i="2" s="1"/>
  <c r="DH169" i="2" s="1"/>
  <c r="DC169" i="2"/>
  <c r="DH66" i="2"/>
  <c r="DH167" i="2"/>
  <c r="DD68" i="2"/>
  <c r="DC68" i="2" s="1"/>
  <c r="DF67" i="2"/>
  <c r="DG67" i="2"/>
  <c r="DJ67" i="2"/>
  <c r="DE67" i="2" a="1"/>
  <c r="DE67" i="2" s="1"/>
  <c r="DH67" i="2" s="1"/>
  <c r="V145" i="2"/>
  <c r="U146" i="2" s="1"/>
  <c r="DE168" i="2" a="1"/>
  <c r="DE168" i="2" s="1"/>
  <c r="DH168" i="2" s="1"/>
  <c r="DF168" i="2"/>
  <c r="DG168" i="2"/>
  <c r="DC168" i="2"/>
  <c r="AF73" i="2"/>
  <c r="AF75" i="2"/>
  <c r="AI184" i="2"/>
  <c r="AH185" i="2" s="1"/>
  <c r="AI182" i="2"/>
  <c r="U142" i="2"/>
  <c r="U140" i="2"/>
  <c r="AB65" i="2"/>
  <c r="AA66" i="2" s="1"/>
  <c r="AB63" i="2"/>
  <c r="V47" i="2"/>
  <c r="U48" i="2" s="1"/>
  <c r="V45" i="2"/>
  <c r="AA160" i="2"/>
  <c r="Z161" i="2" s="1"/>
  <c r="Y162" i="2" s="1"/>
  <c r="AA158" i="2"/>
  <c r="AB169" i="2"/>
  <c r="AA170" i="2" s="1"/>
  <c r="AB167" i="2"/>
  <c r="AI82" i="2"/>
  <c r="AH83" i="2" s="1"/>
  <c r="AI80" i="2"/>
  <c r="T41" i="2"/>
  <c r="AE176" i="2"/>
  <c r="Y56" i="2"/>
  <c r="X57" i="2" s="1"/>
  <c r="Y54" i="2"/>
  <c r="W152" i="2"/>
  <c r="W150" i="2"/>
  <c r="DD171" i="2" l="1"/>
  <c r="DC170" i="2"/>
  <c r="DE170" i="2" a="1"/>
  <c r="DE170" i="2" s="1"/>
  <c r="DH170" i="2" s="1"/>
  <c r="DF170" i="2"/>
  <c r="DG170" i="2"/>
  <c r="DD69" i="2"/>
  <c r="DC69" i="2" s="1"/>
  <c r="DE68" i="2" a="1"/>
  <c r="DE68" i="2" s="1"/>
  <c r="DH68" i="2" s="1"/>
  <c r="DF68" i="2"/>
  <c r="DJ68" i="2"/>
  <c r="DG68" i="2"/>
  <c r="U144" i="2"/>
  <c r="T145" i="2" s="1"/>
  <c r="V151" i="2"/>
  <c r="V149" i="2"/>
  <c r="AH81" i="2"/>
  <c r="AG82" i="2" s="1"/>
  <c r="AH79" i="2"/>
  <c r="U46" i="2"/>
  <c r="T47" i="2" s="1"/>
  <c r="U44" i="2"/>
  <c r="AH183" i="2"/>
  <c r="AG184" i="2" s="1"/>
  <c r="AH181" i="2"/>
  <c r="AA168" i="2"/>
  <c r="Z169" i="2" s="1"/>
  <c r="AA166" i="2"/>
  <c r="AA64" i="2"/>
  <c r="Z65" i="2" s="1"/>
  <c r="AA62" i="2"/>
  <c r="T141" i="2"/>
  <c r="T139" i="2"/>
  <c r="X55" i="2"/>
  <c r="W56" i="2" s="1"/>
  <c r="X53" i="2"/>
  <c r="Z159" i="2"/>
  <c r="Y160" i="2" s="1"/>
  <c r="X161" i="2" s="1"/>
  <c r="Z157" i="2"/>
  <c r="AD175" i="2"/>
  <c r="S40" i="2"/>
  <c r="AE74" i="2"/>
  <c r="AE72" i="2"/>
  <c r="DD172" i="2" l="1"/>
  <c r="DE171" i="2" a="1"/>
  <c r="DE171" i="2" s="1"/>
  <c r="DH171" i="2" s="1"/>
  <c r="DG171" i="2"/>
  <c r="DC171" i="2"/>
  <c r="DF171" i="2"/>
  <c r="DD70" i="2"/>
  <c r="DC70" i="2" s="1"/>
  <c r="DF69" i="2"/>
  <c r="DG69" i="2"/>
  <c r="DJ69" i="2"/>
  <c r="DE69" i="2" a="1"/>
  <c r="DE69" i="2" s="1"/>
  <c r="T143" i="2"/>
  <c r="S144" i="2" s="1"/>
  <c r="AD73" i="2"/>
  <c r="AD71" i="2"/>
  <c r="T45" i="2"/>
  <c r="S46" i="2" s="1"/>
  <c r="T43" i="2"/>
  <c r="R39" i="2"/>
  <c r="W54" i="2"/>
  <c r="V55" i="2" s="1"/>
  <c r="W52" i="2"/>
  <c r="Z167" i="2"/>
  <c r="Y168" i="2" s="1"/>
  <c r="Z165" i="2"/>
  <c r="AG80" i="2"/>
  <c r="AF81" i="2" s="1"/>
  <c r="AG78" i="2"/>
  <c r="Y158" i="2"/>
  <c r="X159" i="2" s="1"/>
  <c r="W160" i="2" s="1"/>
  <c r="Y156" i="2"/>
  <c r="Z63" i="2"/>
  <c r="Y64" i="2" s="1"/>
  <c r="Z61" i="2"/>
  <c r="AC174" i="2"/>
  <c r="S140" i="2"/>
  <c r="AG182" i="2"/>
  <c r="AF183" i="2" s="1"/>
  <c r="AG180" i="2"/>
  <c r="U150" i="2"/>
  <c r="U148" i="2"/>
  <c r="DH69" i="2" l="1"/>
  <c r="DD173" i="2"/>
  <c r="DE172" i="2" a="1"/>
  <c r="DE172" i="2" s="1"/>
  <c r="DC172" i="2"/>
  <c r="DF172" i="2"/>
  <c r="DG172" i="2"/>
  <c r="DD71" i="2"/>
  <c r="DC71" i="2" s="1"/>
  <c r="DE70" i="2" a="1"/>
  <c r="DE70" i="2" s="1"/>
  <c r="DH70" i="2" s="1"/>
  <c r="DJ70" i="2"/>
  <c r="DF70" i="2"/>
  <c r="DG70" i="2"/>
  <c r="S142" i="2"/>
  <c r="R143" i="2" s="1"/>
  <c r="AF79" i="2"/>
  <c r="AE80" i="2" s="1"/>
  <c r="AF77" i="2"/>
  <c r="AB173" i="2"/>
  <c r="T149" i="2"/>
  <c r="T147" i="2"/>
  <c r="Y166" i="2"/>
  <c r="X167" i="2" s="1"/>
  <c r="Y164" i="2"/>
  <c r="Y62" i="2"/>
  <c r="X63" i="2" s="1"/>
  <c r="Y60" i="2"/>
  <c r="S44" i="2"/>
  <c r="R45" i="2" s="1"/>
  <c r="S42" i="2"/>
  <c r="AF181" i="2"/>
  <c r="AE182" i="2" s="1"/>
  <c r="AF179" i="2"/>
  <c r="V53" i="2"/>
  <c r="U54" i="2" s="1"/>
  <c r="V51" i="2"/>
  <c r="AC72" i="2"/>
  <c r="AC70" i="2"/>
  <c r="X157" i="2"/>
  <c r="W158" i="2" s="1"/>
  <c r="V159" i="2" s="1"/>
  <c r="X155" i="2"/>
  <c r="DH172" i="2" l="1"/>
  <c r="DD174" i="2"/>
  <c r="DG173" i="2"/>
  <c r="DF173" i="2"/>
  <c r="DC173" i="2"/>
  <c r="DE173" i="2" a="1"/>
  <c r="DE173" i="2" s="1"/>
  <c r="DH173" i="2" s="1"/>
  <c r="DD72" i="2"/>
  <c r="DC72" i="2" s="1"/>
  <c r="DF71" i="2"/>
  <c r="DG71" i="2"/>
  <c r="DJ71" i="2"/>
  <c r="DE71" i="2" a="1"/>
  <c r="DE71" i="2" s="1"/>
  <c r="R141" i="2"/>
  <c r="Q142" i="2" s="1"/>
  <c r="S148" i="2"/>
  <c r="S146" i="2"/>
  <c r="R43" i="2"/>
  <c r="Q44" i="2" s="1"/>
  <c r="R41" i="2"/>
  <c r="AA172" i="2"/>
  <c r="X61" i="2"/>
  <c r="W62" i="2" s="1"/>
  <c r="X59" i="2"/>
  <c r="U52" i="2"/>
  <c r="T53" i="2" s="1"/>
  <c r="U50" i="2"/>
  <c r="AE78" i="2"/>
  <c r="AD79" i="2" s="1"/>
  <c r="AE76" i="2"/>
  <c r="AE180" i="2"/>
  <c r="AD181" i="2" s="1"/>
  <c r="AE178" i="2"/>
  <c r="X165" i="2"/>
  <c r="W166" i="2" s="1"/>
  <c r="X163" i="2"/>
  <c r="W156" i="2"/>
  <c r="V157" i="2" s="1"/>
  <c r="U158" i="2" s="1"/>
  <c r="W154" i="2"/>
  <c r="AB71" i="2"/>
  <c r="AB69" i="2"/>
  <c r="DH71" i="2" l="1"/>
  <c r="DD175" i="2"/>
  <c r="DE174" i="2" a="1"/>
  <c r="DE174" i="2" s="1"/>
  <c r="DF174" i="2"/>
  <c r="DC174" i="2"/>
  <c r="DG174" i="2"/>
  <c r="DD73" i="2"/>
  <c r="DC73" i="2" s="1"/>
  <c r="DJ72" i="2"/>
  <c r="DE72" i="2" a="1"/>
  <c r="DE72" i="2" s="1"/>
  <c r="DF72" i="2"/>
  <c r="DG72" i="2"/>
  <c r="Z171" i="2"/>
  <c r="V155" i="2"/>
  <c r="U156" i="2" s="1"/>
  <c r="T157" i="2" s="1"/>
  <c r="V153" i="2"/>
  <c r="Q42" i="2"/>
  <c r="P43" i="2" s="1"/>
  <c r="Q40" i="2"/>
  <c r="T51" i="2"/>
  <c r="S52" i="2" s="1"/>
  <c r="T49" i="2"/>
  <c r="AD179" i="2"/>
  <c r="AC180" i="2" s="1"/>
  <c r="AD177" i="2"/>
  <c r="W164" i="2"/>
  <c r="V165" i="2" s="1"/>
  <c r="W162" i="2"/>
  <c r="W60" i="2"/>
  <c r="V61" i="2" s="1"/>
  <c r="W58" i="2"/>
  <c r="R147" i="2"/>
  <c r="R145" i="2"/>
  <c r="AA70" i="2"/>
  <c r="AA68" i="2"/>
  <c r="AD77" i="2"/>
  <c r="AC78" i="2" s="1"/>
  <c r="AD75" i="2"/>
  <c r="DH174" i="2" l="1"/>
  <c r="DD176" i="2"/>
  <c r="DF175" i="2"/>
  <c r="DG175" i="2"/>
  <c r="DC175" i="2"/>
  <c r="DE175" i="2" a="1"/>
  <c r="DE175" i="2" s="1"/>
  <c r="DH175" i="2" s="1"/>
  <c r="DH72" i="2"/>
  <c r="DD74" i="2"/>
  <c r="DC74" i="2" s="1"/>
  <c r="DF73" i="2"/>
  <c r="DG73" i="2"/>
  <c r="DJ73" i="2"/>
  <c r="DE73" i="2" a="1"/>
  <c r="DE73" i="2" s="1"/>
  <c r="DH73" i="2" s="1"/>
  <c r="P41" i="2"/>
  <c r="O42" i="2" s="1"/>
  <c r="V163" i="2"/>
  <c r="U164" i="2" s="1"/>
  <c r="V161" i="2"/>
  <c r="AC178" i="2"/>
  <c r="AB179" i="2" s="1"/>
  <c r="AC176" i="2"/>
  <c r="U154" i="2"/>
  <c r="T155" i="2" s="1"/>
  <c r="S156" i="2" s="1"/>
  <c r="U152" i="2"/>
  <c r="Q146" i="2"/>
  <c r="Q144" i="2"/>
  <c r="Z69" i="2"/>
  <c r="Z67" i="2"/>
  <c r="Y170" i="2"/>
  <c r="AC76" i="2"/>
  <c r="AB77" i="2" s="1"/>
  <c r="AC74" i="2"/>
  <c r="V59" i="2"/>
  <c r="U60" i="2" s="1"/>
  <c r="V57" i="2"/>
  <c r="S50" i="2"/>
  <c r="R51" i="2" s="1"/>
  <c r="S48" i="2"/>
  <c r="DD177" i="2" l="1"/>
  <c r="DC176" i="2"/>
  <c r="DE176" i="2" a="1"/>
  <c r="DE176" i="2" s="1"/>
  <c r="DH176" i="2" s="1"/>
  <c r="DF176" i="2"/>
  <c r="DG176" i="2"/>
  <c r="DD75" i="2"/>
  <c r="DC75" i="2" s="1"/>
  <c r="DE74" i="2" a="1"/>
  <c r="DE74" i="2" s="1"/>
  <c r="DH74" i="2" s="1"/>
  <c r="DF74" i="2"/>
  <c r="DG74" i="2"/>
  <c r="DJ74" i="2"/>
  <c r="P145" i="2"/>
  <c r="P143" i="2"/>
  <c r="U162" i="2"/>
  <c r="T163" i="2" s="1"/>
  <c r="U160" i="2"/>
  <c r="U58" i="2"/>
  <c r="T59" i="2" s="1"/>
  <c r="U56" i="2"/>
  <c r="AB75" i="2"/>
  <c r="AA76" i="2" s="1"/>
  <c r="AB73" i="2"/>
  <c r="X169" i="2"/>
  <c r="T153" i="2"/>
  <c r="S154" i="2" s="1"/>
  <c r="R155" i="2" s="1"/>
  <c r="T151" i="2"/>
  <c r="R49" i="2"/>
  <c r="Q50" i="2" s="1"/>
  <c r="R47" i="2"/>
  <c r="Y68" i="2"/>
  <c r="Y66" i="2"/>
  <c r="AB177" i="2"/>
  <c r="AA178" i="2" s="1"/>
  <c r="AB175" i="2"/>
  <c r="DD178" i="2" l="1"/>
  <c r="DG177" i="2"/>
  <c r="DC177" i="2"/>
  <c r="DE177" i="2" a="1"/>
  <c r="DE177" i="2" s="1"/>
  <c r="DH177" i="2" s="1"/>
  <c r="DF177" i="2"/>
  <c r="DD76" i="2"/>
  <c r="DC76" i="2" s="1"/>
  <c r="DF75" i="2"/>
  <c r="DG75" i="2"/>
  <c r="DJ75" i="2"/>
  <c r="DE75" i="2" a="1"/>
  <c r="DE75" i="2" s="1"/>
  <c r="O144" i="2"/>
  <c r="T57" i="2"/>
  <c r="S58" i="2" s="1"/>
  <c r="T55" i="2"/>
  <c r="T161" i="2"/>
  <c r="S162" i="2" s="1"/>
  <c r="T159" i="2"/>
  <c r="S152" i="2"/>
  <c r="R153" i="2" s="1"/>
  <c r="Q154" i="2" s="1"/>
  <c r="S150" i="2"/>
  <c r="W168" i="2"/>
  <c r="X67" i="2"/>
  <c r="X65" i="2"/>
  <c r="Q48" i="2"/>
  <c r="P49" i="2" s="1"/>
  <c r="Q46" i="2"/>
  <c r="AA74" i="2"/>
  <c r="Z75" i="2" s="1"/>
  <c r="AA72" i="2"/>
  <c r="AA176" i="2"/>
  <c r="Z177" i="2" s="1"/>
  <c r="AA174" i="2"/>
  <c r="DH75" i="2" l="1"/>
  <c r="DD179" i="2"/>
  <c r="DC178" i="2"/>
  <c r="DF178" i="2"/>
  <c r="DG178" i="2"/>
  <c r="DE178" i="2" a="1"/>
  <c r="DE178" i="2" s="1"/>
  <c r="DH178" i="2" s="1"/>
  <c r="DD77" i="2"/>
  <c r="DC77" i="2" s="1"/>
  <c r="DJ76" i="2"/>
  <c r="DE76" i="2" a="1"/>
  <c r="DE76" i="2" s="1"/>
  <c r="DH76" i="2" s="1"/>
  <c r="DF76" i="2"/>
  <c r="DG76" i="2"/>
  <c r="R151" i="2"/>
  <c r="Q152" i="2" s="1"/>
  <c r="P153" i="2" s="1"/>
  <c r="R149" i="2"/>
  <c r="W66" i="2"/>
  <c r="W64" i="2"/>
  <c r="S160" i="2"/>
  <c r="R161" i="2" s="1"/>
  <c r="S158" i="2"/>
  <c r="Z73" i="2"/>
  <c r="Y74" i="2" s="1"/>
  <c r="Z71" i="2"/>
  <c r="S56" i="2"/>
  <c r="R57" i="2" s="1"/>
  <c r="S54" i="2"/>
  <c r="Z175" i="2"/>
  <c r="Y176" i="2" s="1"/>
  <c r="Z173" i="2"/>
  <c r="P47" i="2"/>
  <c r="O48" i="2" s="1"/>
  <c r="P45" i="2"/>
  <c r="V167" i="2"/>
  <c r="DD180" i="2" l="1"/>
  <c r="DC179" i="2"/>
  <c r="DE179" i="2" a="1"/>
  <c r="DE179" i="2" s="1"/>
  <c r="DF179" i="2"/>
  <c r="DG179" i="2"/>
  <c r="DD78" i="2"/>
  <c r="DC78" i="2" s="1"/>
  <c r="DF77" i="2"/>
  <c r="DG77" i="2"/>
  <c r="DJ77" i="2"/>
  <c r="DE77" i="2" a="1"/>
  <c r="DE77" i="2" s="1"/>
  <c r="R159" i="2"/>
  <c r="Q160" i="2" s="1"/>
  <c r="R157" i="2"/>
  <c r="Y174" i="2"/>
  <c r="X175" i="2" s="1"/>
  <c r="Y172" i="2"/>
  <c r="R55" i="2"/>
  <c r="Q56" i="2" s="1"/>
  <c r="R53" i="2"/>
  <c r="V65" i="2"/>
  <c r="V63" i="2"/>
  <c r="U166" i="2"/>
  <c r="Y72" i="2"/>
  <c r="X73" i="2" s="1"/>
  <c r="Y70" i="2"/>
  <c r="Q150" i="2"/>
  <c r="P151" i="2" s="1"/>
  <c r="O152" i="2" s="1"/>
  <c r="Q148" i="2"/>
  <c r="O46" i="2"/>
  <c r="N47" i="2" s="1"/>
  <c r="O44" i="2"/>
  <c r="DH179" i="2" l="1"/>
  <c r="DH77" i="2"/>
  <c r="DD181" i="2"/>
  <c r="DE180" i="2" a="1"/>
  <c r="DE180" i="2" s="1"/>
  <c r="DF180" i="2"/>
  <c r="DG180" i="2"/>
  <c r="DC180" i="2"/>
  <c r="DD79" i="2"/>
  <c r="DC79" i="2" s="1"/>
  <c r="DJ78" i="2"/>
  <c r="DE78" i="2" a="1"/>
  <c r="DE78" i="2" s="1"/>
  <c r="DF78" i="2"/>
  <c r="DG78" i="2"/>
  <c r="X71" i="2"/>
  <c r="W72" i="2" s="1"/>
  <c r="X69" i="2"/>
  <c r="T165" i="2"/>
  <c r="X173" i="2"/>
  <c r="W174" i="2" s="1"/>
  <c r="X171" i="2"/>
  <c r="Q54" i="2"/>
  <c r="P55" i="2" s="1"/>
  <c r="Q52" i="2"/>
  <c r="Q158" i="2"/>
  <c r="P159" i="2" s="1"/>
  <c r="Q156" i="2"/>
  <c r="N45" i="2"/>
  <c r="M46" i="2" s="1"/>
  <c r="N43" i="2"/>
  <c r="P149" i="2"/>
  <c r="O150" i="2" s="1"/>
  <c r="N151" i="2" s="1"/>
  <c r="P147" i="2"/>
  <c r="U64" i="2"/>
  <c r="U62" i="2"/>
  <c r="DH180" i="2" l="1"/>
  <c r="DD182" i="2"/>
  <c r="DE181" i="2" a="1"/>
  <c r="DE181" i="2" s="1"/>
  <c r="DC181" i="2"/>
  <c r="DF181" i="2"/>
  <c r="DG181" i="2"/>
  <c r="DH78" i="2"/>
  <c r="DD80" i="2"/>
  <c r="DC80" i="2" s="1"/>
  <c r="DF79" i="2"/>
  <c r="DG79" i="2"/>
  <c r="DJ79" i="2"/>
  <c r="DE79" i="2" a="1"/>
  <c r="DE79" i="2" s="1"/>
  <c r="DH79" i="2" s="1"/>
  <c r="M44" i="2"/>
  <c r="L45" i="2" s="1"/>
  <c r="S164" i="2"/>
  <c r="P157" i="2"/>
  <c r="O158" i="2" s="1"/>
  <c r="P155" i="2"/>
  <c r="T63" i="2"/>
  <c r="T61" i="2"/>
  <c r="W70" i="2"/>
  <c r="V71" i="2" s="1"/>
  <c r="W68" i="2"/>
  <c r="W172" i="2"/>
  <c r="V173" i="2" s="1"/>
  <c r="W170" i="2"/>
  <c r="O148" i="2"/>
  <c r="N149" i="2" s="1"/>
  <c r="M150" i="2" s="1"/>
  <c r="O146" i="2"/>
  <c r="P53" i="2"/>
  <c r="O54" i="2" s="1"/>
  <c r="P51" i="2"/>
  <c r="DH181" i="2" l="1"/>
  <c r="DD183" i="2"/>
  <c r="DE182" i="2" a="1"/>
  <c r="DE182" i="2" s="1"/>
  <c r="DF182" i="2"/>
  <c r="DG182" i="2"/>
  <c r="DC182" i="2"/>
  <c r="DD81" i="2"/>
  <c r="DC81" i="2" s="1"/>
  <c r="DE80" i="2" a="1"/>
  <c r="DE80" i="2" s="1"/>
  <c r="DH80" i="2" s="1"/>
  <c r="DF80" i="2"/>
  <c r="DJ80" i="2"/>
  <c r="DG80" i="2"/>
  <c r="V171" i="2"/>
  <c r="U172" i="2" s="1"/>
  <c r="V169" i="2"/>
  <c r="O156" i="2"/>
  <c r="N157" i="2" s="1"/>
  <c r="O154" i="2"/>
  <c r="N147" i="2"/>
  <c r="M148" i="2" s="1"/>
  <c r="L149" i="2" s="1"/>
  <c r="N145" i="2"/>
  <c r="V69" i="2"/>
  <c r="U70" i="2" s="1"/>
  <c r="V67" i="2"/>
  <c r="R163" i="2"/>
  <c r="S62" i="2"/>
  <c r="S60" i="2"/>
  <c r="O52" i="2"/>
  <c r="N53" i="2" s="1"/>
  <c r="O50" i="2"/>
  <c r="DH182" i="2" l="1"/>
  <c r="DD184" i="2"/>
  <c r="DE183" i="2" a="1"/>
  <c r="DE183" i="2" s="1"/>
  <c r="DF183" i="2"/>
  <c r="DG183" i="2"/>
  <c r="DC183" i="2"/>
  <c r="DD82" i="2"/>
  <c r="DC82" i="2" s="1"/>
  <c r="DF81" i="2"/>
  <c r="DG81" i="2"/>
  <c r="DJ81" i="2"/>
  <c r="DE81" i="2" a="1"/>
  <c r="DE81" i="2" s="1"/>
  <c r="DH81" i="2" s="1"/>
  <c r="M146" i="2"/>
  <c r="L147" i="2" s="1"/>
  <c r="K148" i="2" s="1"/>
  <c r="R61" i="2"/>
  <c r="R59" i="2"/>
  <c r="N155" i="2"/>
  <c r="M156" i="2" s="1"/>
  <c r="N153" i="2"/>
  <c r="Q162" i="2"/>
  <c r="U170" i="2"/>
  <c r="T171" i="2" s="1"/>
  <c r="U168" i="2"/>
  <c r="N51" i="2"/>
  <c r="M52" i="2" s="1"/>
  <c r="N49" i="2"/>
  <c r="U68" i="2"/>
  <c r="T69" i="2" s="1"/>
  <c r="U66" i="2"/>
  <c r="DH183" i="2" l="1"/>
  <c r="DD185" i="2"/>
  <c r="DC184" i="2"/>
  <c r="DG184" i="2"/>
  <c r="DF184" i="2"/>
  <c r="DE184" i="2" a="1"/>
  <c r="DE184" i="2" s="1"/>
  <c r="DH184" i="2" s="1"/>
  <c r="DD83" i="2"/>
  <c r="DC83" i="2" s="1"/>
  <c r="DJ82" i="2"/>
  <c r="DE82" i="2" a="1"/>
  <c r="DE82" i="2" s="1"/>
  <c r="DH82" i="2" s="1"/>
  <c r="DF82" i="2"/>
  <c r="DG82" i="2"/>
  <c r="T67" i="2"/>
  <c r="S68" i="2" s="1"/>
  <c r="T65" i="2"/>
  <c r="M154" i="2"/>
  <c r="L155" i="2" s="1"/>
  <c r="M152" i="2"/>
  <c r="T169" i="2"/>
  <c r="S170" i="2" s="1"/>
  <c r="T167" i="2"/>
  <c r="P161" i="2"/>
  <c r="Q60" i="2"/>
  <c r="Q58" i="2"/>
  <c r="M50" i="2"/>
  <c r="L51" i="2" s="1"/>
  <c r="M48" i="2"/>
  <c r="DD186" i="2" l="1"/>
  <c r="DC185" i="2"/>
  <c r="DE185" i="2" a="1"/>
  <c r="DE185" i="2" s="1"/>
  <c r="DH185" i="2" s="1"/>
  <c r="DF185" i="2"/>
  <c r="DG185" i="2"/>
  <c r="DD84" i="2"/>
  <c r="DC84" i="2" s="1"/>
  <c r="DF83" i="2"/>
  <c r="DG83" i="2"/>
  <c r="DJ83" i="2"/>
  <c r="DE83" i="2" a="1"/>
  <c r="DE83" i="2" s="1"/>
  <c r="L153" i="2"/>
  <c r="K154" i="2" s="1"/>
  <c r="L151" i="2"/>
  <c r="S168" i="2"/>
  <c r="R169" i="2" s="1"/>
  <c r="S166" i="2"/>
  <c r="P59" i="2"/>
  <c r="P57" i="2"/>
  <c r="O160" i="2"/>
  <c r="S66" i="2"/>
  <c r="R67" i="2" s="1"/>
  <c r="S64" i="2"/>
  <c r="L49" i="2"/>
  <c r="K50" i="2" s="1"/>
  <c r="L47" i="2"/>
  <c r="DH83" i="2" l="1"/>
  <c r="DD187" i="2"/>
  <c r="DF186" i="2"/>
  <c r="DC186" i="2"/>
  <c r="DE186" i="2" a="1"/>
  <c r="DE186" i="2" s="1"/>
  <c r="DG186" i="2"/>
  <c r="DD85" i="2"/>
  <c r="DC85" i="2" s="1"/>
  <c r="DE84" i="2" a="1"/>
  <c r="DE84" i="2" s="1"/>
  <c r="DH84" i="2" s="1"/>
  <c r="DF84" i="2"/>
  <c r="DG84" i="2"/>
  <c r="DJ84" i="2"/>
  <c r="R167" i="2"/>
  <c r="Q168" i="2" s="1"/>
  <c r="R165" i="2"/>
  <c r="K48" i="2"/>
  <c r="J49" i="2" s="1"/>
  <c r="K46" i="2"/>
  <c r="J47" i="2" s="1"/>
  <c r="I48" i="2" s="1"/>
  <c r="R65" i="2"/>
  <c r="Q66" i="2" s="1"/>
  <c r="R63" i="2"/>
  <c r="K152" i="2"/>
  <c r="J153" i="2" s="1"/>
  <c r="K150" i="2"/>
  <c r="N159" i="2"/>
  <c r="O58" i="2"/>
  <c r="O56" i="2"/>
  <c r="DH186" i="2" l="1"/>
  <c r="DD188" i="2"/>
  <c r="DE187" i="2" a="1"/>
  <c r="DE187" i="2" s="1"/>
  <c r="DC187" i="2"/>
  <c r="DF187" i="2"/>
  <c r="DG187" i="2"/>
  <c r="DD86" i="2"/>
  <c r="DC86" i="2" s="1"/>
  <c r="DF85" i="2"/>
  <c r="DG85" i="2"/>
  <c r="DJ85" i="2"/>
  <c r="DE85" i="2" a="1"/>
  <c r="DE85" i="2" s="1"/>
  <c r="DH85" i="2" s="1"/>
  <c r="Q64" i="2"/>
  <c r="P65" i="2" s="1"/>
  <c r="Q62" i="2"/>
  <c r="M158" i="2"/>
  <c r="J151" i="2"/>
  <c r="I152" i="2" s="1"/>
  <c r="J149" i="2"/>
  <c r="N57" i="2"/>
  <c r="N55" i="2"/>
  <c r="Q166" i="2"/>
  <c r="P167" i="2" s="1"/>
  <c r="Q164" i="2"/>
  <c r="DH187" i="2" l="1"/>
  <c r="DD189" i="2"/>
  <c r="DG188" i="2"/>
  <c r="DC188" i="2"/>
  <c r="DE188" i="2" a="1"/>
  <c r="DE188" i="2" s="1"/>
  <c r="DH188" i="2" s="1"/>
  <c r="DF188" i="2"/>
  <c r="DD87" i="2"/>
  <c r="DC87" i="2" s="1"/>
  <c r="DJ86" i="2"/>
  <c r="DE86" i="2" a="1"/>
  <c r="DE86" i="2" s="1"/>
  <c r="DH86" i="2" s="1"/>
  <c r="DF86" i="2"/>
  <c r="DG86" i="2"/>
  <c r="I150" i="2"/>
  <c r="H151" i="2" s="1"/>
  <c r="P165" i="2"/>
  <c r="O166" i="2" s="1"/>
  <c r="P163" i="2"/>
  <c r="P63" i="2"/>
  <c r="O64" i="2" s="1"/>
  <c r="P61" i="2"/>
  <c r="L157" i="2"/>
  <c r="M56" i="2"/>
  <c r="M54" i="2"/>
  <c r="DD190" i="2" l="1"/>
  <c r="DF189" i="2"/>
  <c r="DG189" i="2"/>
  <c r="DC189" i="2"/>
  <c r="DE189" i="2" a="1"/>
  <c r="DE189" i="2" s="1"/>
  <c r="DH189" i="2" s="1"/>
  <c r="DD88" i="2"/>
  <c r="DC88" i="2" s="1"/>
  <c r="DF87" i="2"/>
  <c r="DG87" i="2"/>
  <c r="DJ87" i="2"/>
  <c r="DE87" i="2" a="1"/>
  <c r="DE87" i="2" s="1"/>
  <c r="O164" i="2"/>
  <c r="N165" i="2" s="1"/>
  <c r="O162" i="2"/>
  <c r="K156" i="2"/>
  <c r="O62" i="2"/>
  <c r="N63" i="2" s="1"/>
  <c r="O60" i="2"/>
  <c r="L55" i="2"/>
  <c r="L53" i="2"/>
  <c r="DH87" i="2" l="1"/>
  <c r="DD191" i="2"/>
  <c r="DG190" i="2"/>
  <c r="DE190" i="2" a="1"/>
  <c r="DE190" i="2" s="1"/>
  <c r="DC190" i="2"/>
  <c r="DF190" i="2"/>
  <c r="DD89" i="2"/>
  <c r="DC89" i="2" s="1"/>
  <c r="DE88" i="2" a="1"/>
  <c r="DE88" i="2" s="1"/>
  <c r="DH88" i="2" s="1"/>
  <c r="DJ88" i="2"/>
  <c r="DF88" i="2"/>
  <c r="DG88" i="2"/>
  <c r="N61" i="2"/>
  <c r="M62" i="2" s="1"/>
  <c r="N59" i="2"/>
  <c r="J155" i="2"/>
  <c r="N163" i="2"/>
  <c r="M164" i="2" s="1"/>
  <c r="N161" i="2"/>
  <c r="K54" i="2"/>
  <c r="K52" i="2"/>
  <c r="DH190" i="2" l="1"/>
  <c r="DD192" i="2"/>
  <c r="DE191" i="2" a="1"/>
  <c r="DE191" i="2" s="1"/>
  <c r="DF191" i="2"/>
  <c r="DG191" i="2"/>
  <c r="DC191" i="2"/>
  <c r="DD90" i="2"/>
  <c r="DC90" i="2" s="1"/>
  <c r="DF89" i="2"/>
  <c r="DG89" i="2"/>
  <c r="DE89" i="2" a="1"/>
  <c r="DE89" i="2" s="1"/>
  <c r="DJ89" i="2"/>
  <c r="M162" i="2"/>
  <c r="L163" i="2" s="1"/>
  <c r="M160" i="2"/>
  <c r="J53" i="2"/>
  <c r="J51" i="2"/>
  <c r="I154" i="2"/>
  <c r="M60" i="2"/>
  <c r="L61" i="2" s="1"/>
  <c r="M58" i="2"/>
  <c r="DH191" i="2" l="1"/>
  <c r="DH89" i="2"/>
  <c r="DC192" i="2"/>
  <c r="DE192" i="2" a="1"/>
  <c r="DE192" i="2" s="1"/>
  <c r="DF192" i="2"/>
  <c r="DG192" i="2"/>
  <c r="DJ90" i="2"/>
  <c r="DE90" i="2" a="1"/>
  <c r="DE90" i="2" s="1"/>
  <c r="DH90" i="2" s="1"/>
  <c r="DF90" i="2"/>
  <c r="DG90" i="2"/>
  <c r="I52" i="2"/>
  <c r="I50" i="2"/>
  <c r="H153" i="2"/>
  <c r="L161" i="2"/>
  <c r="K162" i="2" s="1"/>
  <c r="L159" i="2"/>
  <c r="L59" i="2"/>
  <c r="K60" i="2" s="1"/>
  <c r="L57" i="2"/>
  <c r="DH192" i="2" l="1"/>
  <c r="K160" i="2"/>
  <c r="J161" i="2" s="1"/>
  <c r="K158" i="2"/>
  <c r="G152" i="2"/>
  <c r="H51" i="2"/>
  <c r="H49" i="2"/>
  <c r="K58" i="2"/>
  <c r="J59" i="2" s="1"/>
  <c r="K56" i="2"/>
  <c r="G50" i="2" l="1"/>
  <c r="J57" i="2"/>
  <c r="I58" i="2" s="1"/>
  <c r="J55" i="2"/>
  <c r="J159" i="2"/>
  <c r="I160" i="2" s="1"/>
  <c r="J157" i="2"/>
  <c r="I158" i="2" l="1"/>
  <c r="H159" i="2" s="1"/>
  <c r="I156" i="2"/>
  <c r="I56" i="2"/>
  <c r="H57" i="2" s="1"/>
  <c r="I54" i="2"/>
  <c r="H55" i="2" l="1"/>
  <c r="G56" i="2" s="1"/>
  <c r="H53" i="2"/>
  <c r="H157" i="2"/>
  <c r="G158" i="2" s="1"/>
  <c r="H155" i="2"/>
  <c r="G54" i="2" l="1"/>
  <c r="F55" i="2" s="1"/>
  <c r="G52" i="2"/>
  <c r="G156" i="2"/>
  <c r="F157" i="2" s="1"/>
  <c r="G154" i="2"/>
  <c r="F155" i="2" l="1"/>
  <c r="E156" i="2" s="1"/>
  <c r="F153" i="2"/>
  <c r="F53" i="2"/>
  <c r="E54" i="2" s="1"/>
  <c r="F51" i="2"/>
  <c r="E52" i="2" l="1"/>
  <c r="D53" i="2" s="1"/>
  <c r="G45" i="2" s="1"/>
  <c r="E154" i="2"/>
  <c r="D155" i="2" s="1"/>
  <c r="G147" i="2" s="1"/>
  <c r="F14" i="2" s="1"/>
  <c r="F13" i="2" l="1"/>
  <c r="F1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<sst xmlns="http://schemas.openxmlformats.org/spreadsheetml/2006/main" count="52" uniqueCount="43">
  <si>
    <t>d</t>
  </si>
  <si>
    <t>a</t>
  </si>
  <si>
    <t>p</t>
  </si>
  <si>
    <t>Date</t>
  </si>
  <si>
    <t>Expiration</t>
  </si>
  <si>
    <t>S</t>
  </si>
  <si>
    <t>K</t>
  </si>
  <si>
    <t>r</t>
  </si>
  <si>
    <t>sigma</t>
  </si>
  <si>
    <t>T</t>
  </si>
  <si>
    <t>dt</t>
  </si>
  <si>
    <t>n</t>
  </si>
  <si>
    <t>American tree</t>
  </si>
  <si>
    <t>Value</t>
  </si>
  <si>
    <t>M</t>
  </si>
  <si>
    <t>ds</t>
  </si>
  <si>
    <t>zero price</t>
  </si>
  <si>
    <t>M to S</t>
  </si>
  <si>
    <t>Max S</t>
  </si>
  <si>
    <t>t</t>
  </si>
  <si>
    <t>j</t>
  </si>
  <si>
    <t>aj</t>
  </si>
  <si>
    <t>bj</t>
  </si>
  <si>
    <t>cj</t>
  </si>
  <si>
    <t>wc1</t>
  </si>
  <si>
    <t>wc2</t>
  </si>
  <si>
    <t>wc3</t>
  </si>
  <si>
    <t>Bin Am</t>
  </si>
  <si>
    <t>Bin Eur</t>
  </si>
  <si>
    <t>Th P</t>
  </si>
  <si>
    <t>Cal P</t>
  </si>
  <si>
    <t>d1</t>
  </si>
  <si>
    <t>d2</t>
  </si>
  <si>
    <t>BSM</t>
  </si>
  <si>
    <t>European tree</t>
  </si>
  <si>
    <t>CVT</t>
  </si>
  <si>
    <t>FDM Am</t>
  </si>
  <si>
    <t>FDM Eur</t>
  </si>
  <si>
    <t>MG38000BR0</t>
  </si>
  <si>
    <t>q (for FDM)</t>
  </si>
  <si>
    <t>q (for trees)</t>
  </si>
  <si>
    <t>Current profit</t>
  </si>
  <si>
    <t>delta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</si>
</sst>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"/>
    <numFmt numFmtId="165" formatCode="0.0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1" xfId="0" applyBorder="1"/>
    <xf numFmtId="14" fontId="0" fillId="0" borderId="2" xfId="0" applyNumberFormat="1" applyBorder="1"/>
    <xf numFmtId="0" fontId="0" fillId="0" borderId="3" xfId="0" applyBorder="1"/>
    <xf numFmtId="0" fontId="0" fillId="0" borderId="4" xfId="0" applyBorder="1"/>
    <xf numFmtId="9" fontId="0" fillId="0" borderId="4" xfId="0" applyNumberFormat="1" applyBorder="1"/>
    <xf numFmtId="0" fontId="0" fillId="0" borderId="5" xfId="0" applyBorder="1"/>
    <xf numFmtId="0" fontId="0" fillId="0" borderId="6" xfId="0" applyBorder="1"/>
    <xf numFmtId="14" fontId="0" fillId="0" borderId="6" xfId="0" applyNumberFormat="1" applyBorder="1"/>
    <xf numFmtId="0" fontId="0" fillId="0" borderId="2" xfId="0" applyBorder="1"/>
    <xf numFmtId="10" fontId="0" fillId="0" borderId="6" xfId="0" applyNumberFormat="1" applyBorder="1"/>
    <xf numFmtId="0" fontId="0" fillId="0" borderId="7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0" fillId="0" borderId="10" xfId="0" applyNumberFormat="1" applyBorder="1"/>
    <xf numFmtId="0" fontId="0" fillId="0" borderId="5" xfId="0" applyFont="1" applyBorder="1"/>
    <xf numFmtId="0" fontId="4" fillId="0" borderId="3" xfId="0" applyFont="1" applyBorder="1"/>
    <xf numFmtId="0" fontId="4" fillId="0" borderId="4" xfId="0" applyFont="1" applyBorder="1"/>
    <xf numFmtId="0" fontId="0" fillId="0" borderId="13" xfId="0" applyBorder="1"/>
    <xf numFmtId="164" fontId="0" fillId="0" borderId="0" xfId="0" applyNumberFormat="1" applyBorder="1"/>
    <xf numFmtId="0" fontId="0" fillId="0" borderId="14" xfId="0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164" fontId="0" fillId="0" borderId="4" xfId="0" applyNumberFormat="1" applyBorder="1"/>
    <xf numFmtId="165" fontId="4" fillId="0" borderId="4" xfId="0" applyNumberFormat="1" applyFont="1" applyBorder="1"/>
    <xf numFmtId="164" fontId="0" fillId="0" borderId="1" xfId="0" applyNumberFormat="1" applyBorder="1"/>
    <xf numFmtId="164" fontId="0" fillId="0" borderId="3" xfId="0" applyNumberFormat="1" applyBorder="1"/>
    <xf numFmtId="0" fontId="0" fillId="0" borderId="16" xfId="0" applyBorder="1"/>
    <xf numFmtId="0" fontId="0" fillId="0" borderId="17" xfId="0" applyBorder="1"/>
    <xf numFmtId="0" fontId="0" fillId="0" borderId="15" xfId="0" applyBorder="1"/>
    <xf numFmtId="0" fontId="0" fillId="0" borderId="7" xfId="0" applyBorder="1"/>
    <xf numFmtId="0" fontId="4" fillId="0" borderId="9" xfId="0" applyFont="1" applyFill="1" applyBorder="1"/>
    <xf numFmtId="0" fontId="4" fillId="0" borderId="10" xfId="0" applyFont="1" applyFill="1" applyBorder="1"/>
    <xf numFmtId="0" fontId="4" fillId="0" borderId="8" xfId="0" applyFont="1" applyBorder="1"/>
    <xf numFmtId="0" fontId="0" fillId="0" borderId="18" xfId="0" applyBorder="1"/>
    <xf numFmtId="0" fontId="0" fillId="0" borderId="9" xfId="0" applyFont="1" applyBorder="1"/>
    <xf numFmtId="0" fontId="0" fillId="0" borderId="10" xfId="0" applyFont="1" applyBorder="1"/>
    <xf numFmtId="0" fontId="0" fillId="0" borderId="5" xfId="0" applyFill="1" applyBorder="1"/>
    <xf numFmtId="0" fontId="1" fillId="0" borderId="9" xfId="0" applyFont="1" applyBorder="1"/>
    <xf numFmtId="0" fontId="1" fillId="0" borderId="10" xfId="0" applyFont="1" applyBorder="1"/>
    <xf numFmtId="166" fontId="0" fillId="0" borderId="4" xfId="0" applyNumberFormat="1" applyBorder="1"/>
    <xf numFmtId="166" fontId="0" fillId="0" borderId="6" xfId="0" applyNumberFormat="1" applyBorder="1"/>
    <xf numFmtId="2" fontId="0" fillId="0" borderId="11" xfId="0" applyNumberFormat="1" applyBorder="1"/>
    <xf numFmtId="2" fontId="0" fillId="0" borderId="2" xfId="0" applyNumberFormat="1" applyBorder="1"/>
    <xf numFmtId="2" fontId="0" fillId="0" borderId="0" xfId="0" applyNumberFormat="1" applyBorder="1"/>
    <xf numFmtId="2" fontId="0" fillId="0" borderId="4" xfId="0" applyNumberFormat="1" applyBorder="1"/>
    <xf numFmtId="2" fontId="0" fillId="0" borderId="12" xfId="0" applyNumberFormat="1" applyBorder="1"/>
    <xf numFmtId="2" fontId="0" fillId="0" borderId="6" xfId="0" applyNumberFormat="1" applyBorder="1"/>
    <xf numFmtId="166" fontId="0" fillId="0" borderId="11" xfId="0" applyNumberFormat="1" applyBorder="1"/>
    <xf numFmtId="166" fontId="0" fillId="0" borderId="2" xfId="0" applyNumberFormat="1" applyBorder="1"/>
    <xf numFmtId="2" fontId="0" fillId="0" borderId="9" xfId="0" applyNumberFormat="1" applyBorder="1"/>
    <xf numFmtId="2" fontId="0" fillId="0" borderId="14" xfId="0" applyNumberFormat="1" applyBorder="1"/>
    <xf numFmtId="2" fontId="5" fillId="0" borderId="14" xfId="0" applyNumberFormat="1" applyFont="1" applyBorder="1"/>
    <xf numFmtId="2" fontId="5" fillId="0" borderId="0" xfId="0" applyNumberFormat="1" applyFont="1" applyBorder="1"/>
    <xf numFmtId="0" fontId="5" fillId="0" borderId="14" xfId="0" applyFont="1" applyBorder="1"/>
    <xf numFmtId="0" fontId="5" fillId="0" borderId="0" xfId="0" applyFont="1" applyBorder="1"/>
    <xf numFmtId="0" fontId="0" fillId="0" borderId="5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5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293077</xdr:colOff>
      <xdr:row>3</xdr:row>
      <xdr:rowOff>161192</xdr:rowOff>
    </xdr:from>
    <xdr:ext cx="1622945" cy="6651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3D8C9CC1-49FF-4AC5-97F5-B91E2C0A60DE}"/>
                </a:ext>
              </a:extLst>
            </xdr:cNvPr>
            <xdr:cNvSpPr txBox="1"/>
          </xdr:nvSpPr>
          <xdr:spPr>
            <a:xfrm>
              <a:off x="4117731" y="747346"/>
              <a:ext cx="1622945" cy="6651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func>
                          <m:func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US" sz="1100" b="0" i="0">
                                <a:latin typeface="Cambria Math" panose="02040503050406030204" pitchFamily="18" charset="0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𝑆</m:t>
                                    </m:r>
                                  </m:num>
                                  <m:den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𝐾</m:t>
                                    </m:r>
                                  </m:den>
                                </m:f>
                              </m:e>
                            </m:d>
                          </m:e>
                        </m:func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p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𝜎</m:t>
                                    </m:r>
                                  </m:e>
                                  <m:sup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den>
                            </m:f>
                          </m:e>
                        </m:d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  <m:rad>
                          <m:radPr>
                            <m:degHide m:val="on"/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</m:rad>
                      </m:den>
                    </m:f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3D8C9CC1-49FF-4AC5-97F5-B91E2C0A60DE}"/>
                </a:ext>
              </a:extLst>
            </xdr:cNvPr>
            <xdr:cNvSpPr txBox="1"/>
          </xdr:nvSpPr>
          <xdr:spPr>
            <a:xfrm>
              <a:off x="4117731" y="747346"/>
              <a:ext cx="1622945" cy="6651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𝑑</a:t>
              </a:r>
              <a:r>
                <a:rPr lang="ru-RU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1=(ln⁡(𝑆/𝐾)+(𝑟^2+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𝜎^</a:t>
              </a:r>
              <a:r>
                <a:rPr lang="en-US" sz="1100" b="0" i="0">
                  <a:latin typeface="Cambria Math" panose="02040503050406030204" pitchFamily="18" charset="0"/>
                </a:rPr>
                <a:t>2/2)𝑇)/(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𝜎√𝑇)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6</xdr:col>
      <xdr:colOff>249115</xdr:colOff>
      <xdr:row>6</xdr:row>
      <xdr:rowOff>95250</xdr:rowOff>
    </xdr:from>
    <xdr:ext cx="2442400" cy="68842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81B85A8-EE67-4C27-84B1-E5AB17C79B1D}"/>
                </a:ext>
              </a:extLst>
            </xdr:cNvPr>
            <xdr:cNvSpPr txBox="1"/>
          </xdr:nvSpPr>
          <xdr:spPr>
            <a:xfrm>
              <a:off x="4073769" y="1252904"/>
              <a:ext cx="2442400" cy="6884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func>
                          <m:func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US" sz="1100" b="0" i="0">
                                <a:latin typeface="Cambria Math" panose="02040503050406030204" pitchFamily="18" charset="0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𝑆</m:t>
                                    </m:r>
                                  </m:num>
                                  <m:den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𝐾</m:t>
                                    </m:r>
                                  </m:den>
                                </m:f>
                              </m:e>
                            </m:d>
                          </m:e>
                        </m:func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p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𝜎</m:t>
                                    </m:r>
                                  </m:e>
                                  <m:sup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den>
                            </m:f>
                          </m:e>
                        </m:d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  <m:rad>
                          <m:radPr>
                            <m:degHide m:val="on"/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</m:rad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𝜎</m:t>
                    </m:r>
                    <m:rad>
                      <m:radPr>
                        <m:degHide m:val="on"/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</m:rad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81B85A8-EE67-4C27-84B1-E5AB17C79B1D}"/>
                </a:ext>
              </a:extLst>
            </xdr:cNvPr>
            <xdr:cNvSpPr txBox="1"/>
          </xdr:nvSpPr>
          <xdr:spPr>
            <a:xfrm>
              <a:off x="4073769" y="1252904"/>
              <a:ext cx="2442400" cy="6884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𝑑</a:t>
              </a:r>
              <a:r>
                <a:rPr lang="ru-RU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2=(ln⁡(𝑆/𝐾)+(𝑟^2−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𝜎^</a:t>
              </a:r>
              <a:r>
                <a:rPr lang="en-US" sz="1100" b="0" i="0">
                  <a:latin typeface="Cambria Math" panose="02040503050406030204" pitchFamily="18" charset="0"/>
                </a:rPr>
                <a:t>2/2)𝑇)/(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𝜎√𝑇)</a:t>
              </a:r>
              <a:r>
                <a:rPr lang="en-US" sz="1100" b="0" i="0">
                  <a:latin typeface="Cambria Math" panose="02040503050406030204" pitchFamily="18" charset="0"/>
                </a:rPr>
                <a:t>=𝑑_1−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𝜎√𝑇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6</xdr:col>
      <xdr:colOff>263769</xdr:colOff>
      <xdr:row>9</xdr:row>
      <xdr:rowOff>43961</xdr:rowOff>
    </xdr:from>
    <xdr:ext cx="2030941" cy="1858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1255873-E519-4305-9A60-69D79570DC81}"/>
                </a:ext>
              </a:extLst>
            </xdr:cNvPr>
            <xdr:cNvSpPr txBox="1"/>
          </xdr:nvSpPr>
          <xdr:spPr>
            <a:xfrm>
              <a:off x="4088423" y="1773115"/>
              <a:ext cx="2030941" cy="1858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𝑝𝑢𝑡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𝐾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𝑟𝑇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𝑆𝑁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(−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1255873-E519-4305-9A60-69D79570DC81}"/>
                </a:ext>
              </a:extLst>
            </xdr:cNvPr>
            <xdr:cNvSpPr txBox="1"/>
          </xdr:nvSpPr>
          <xdr:spPr>
            <a:xfrm>
              <a:off x="4088423" y="1773115"/>
              <a:ext cx="2030941" cy="1858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𝑓</a:t>
              </a:r>
              <a:r>
                <a:rPr lang="ru-RU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𝑝𝑢𝑡=𝐾𝑒^(−𝑟𝑇) 𝑁(−𝑑_2 )−𝑆𝑁(−𝑑_1)</a:t>
              </a:r>
              <a:endParaRPr lang="ru-RU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28</xdr:col>
      <xdr:colOff>595488</xdr:colOff>
      <xdr:row>41</xdr:row>
      <xdr:rowOff>162809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2825922-9287-446B-AD27-0200E8F40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7664288" cy="79733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5A4DA-6336-4E60-9EB8-6CA51352B591}">
  <sheetPr codeName="Sheet1"/>
  <dimension ref="A1:DJ205"/>
  <sheetViews>
    <sheetView tabSelected="1" zoomScale="40" zoomScaleNormal="40" workbookViewId="0">
      <selection activeCell="S19" sqref="S19"/>
    </sheetView>
  </sheetViews>
  <sheetFormatPr defaultRowHeight="15" x14ac:dyDescent="0.25"/>
  <cols>
    <col min="3" max="3" width="11.7109375" customWidth="1"/>
    <col min="7" max="7" width="9.5703125" bestFit="1" customWidth="1"/>
    <col min="57" max="106" width="9.5703125" bestFit="1" customWidth="1"/>
    <col min="107" max="107" width="10.85546875" customWidth="1"/>
    <col min="109" max="109" width="11.28515625" bestFit="1" customWidth="1"/>
    <col min="111" max="111" width="10.5703125" bestFit="1" customWidth="1"/>
    <col min="112" max="112" width="11.7109375" bestFit="1" customWidth="1"/>
    <col min="113" max="113" width="12.42578125" customWidth="1"/>
    <col min="114" max="114" width="14.5703125" customWidth="1"/>
  </cols>
  <sheetData>
    <row r="1" spans="2:114" ht="15.75" thickBot="1" x14ac:dyDescent="0.3"/>
    <row r="2" spans="2:114" ht="15.75" thickBot="1" x14ac:dyDescent="0.3">
      <c r="B2" s="63" t="s">
        <v>38</v>
      </c>
      <c r="C2" s="64"/>
      <c r="E2" s="3" t="s">
        <v>17</v>
      </c>
      <c r="F2" s="21">
        <v>30</v>
      </c>
      <c r="BB2" s="15">
        <f>BA3/$C$14</f>
        <v>237982.44902768754</v>
      </c>
      <c r="BD2" s="15" t="s">
        <v>11</v>
      </c>
      <c r="BE2" s="24">
        <v>0</v>
      </c>
      <c r="BF2" s="24">
        <f>BE2+1</f>
        <v>1</v>
      </c>
      <c r="BG2" s="24">
        <f t="shared" ref="BG2:DB2" si="0">BF2+1</f>
        <v>2</v>
      </c>
      <c r="BH2" s="24">
        <f t="shared" si="0"/>
        <v>3</v>
      </c>
      <c r="BI2" s="24">
        <f t="shared" si="0"/>
        <v>4</v>
      </c>
      <c r="BJ2" s="24">
        <f t="shared" si="0"/>
        <v>5</v>
      </c>
      <c r="BK2" s="24">
        <f t="shared" si="0"/>
        <v>6</v>
      </c>
      <c r="BL2" s="24">
        <f t="shared" si="0"/>
        <v>7</v>
      </c>
      <c r="BM2" s="24">
        <f t="shared" si="0"/>
        <v>8</v>
      </c>
      <c r="BN2" s="24">
        <f t="shared" si="0"/>
        <v>9</v>
      </c>
      <c r="BO2" s="24">
        <f t="shared" si="0"/>
        <v>10</v>
      </c>
      <c r="BP2" s="24">
        <f t="shared" si="0"/>
        <v>11</v>
      </c>
      <c r="BQ2" s="24">
        <f t="shared" si="0"/>
        <v>12</v>
      </c>
      <c r="BR2" s="24">
        <f t="shared" si="0"/>
        <v>13</v>
      </c>
      <c r="BS2" s="24">
        <f t="shared" si="0"/>
        <v>14</v>
      </c>
      <c r="BT2" s="24">
        <f t="shared" si="0"/>
        <v>15</v>
      </c>
      <c r="BU2" s="24">
        <f t="shared" si="0"/>
        <v>16</v>
      </c>
      <c r="BV2" s="24">
        <f t="shared" si="0"/>
        <v>17</v>
      </c>
      <c r="BW2" s="24">
        <f t="shared" si="0"/>
        <v>18</v>
      </c>
      <c r="BX2" s="24">
        <f t="shared" si="0"/>
        <v>19</v>
      </c>
      <c r="BY2" s="24">
        <f t="shared" si="0"/>
        <v>20</v>
      </c>
      <c r="BZ2" s="24">
        <f t="shared" si="0"/>
        <v>21</v>
      </c>
      <c r="CA2" s="24">
        <f t="shared" si="0"/>
        <v>22</v>
      </c>
      <c r="CB2" s="24">
        <f t="shared" si="0"/>
        <v>23</v>
      </c>
      <c r="CC2" s="24">
        <f t="shared" si="0"/>
        <v>24</v>
      </c>
      <c r="CD2" s="24">
        <f t="shared" si="0"/>
        <v>25</v>
      </c>
      <c r="CE2" s="24">
        <f t="shared" si="0"/>
        <v>26</v>
      </c>
      <c r="CF2" s="24">
        <f t="shared" si="0"/>
        <v>27</v>
      </c>
      <c r="CG2" s="24">
        <f t="shared" si="0"/>
        <v>28</v>
      </c>
      <c r="CH2" s="24">
        <f t="shared" si="0"/>
        <v>29</v>
      </c>
      <c r="CI2" s="24">
        <f t="shared" si="0"/>
        <v>30</v>
      </c>
      <c r="CJ2" s="24">
        <f t="shared" si="0"/>
        <v>31</v>
      </c>
      <c r="CK2" s="24">
        <f t="shared" si="0"/>
        <v>32</v>
      </c>
      <c r="CL2" s="24">
        <f t="shared" si="0"/>
        <v>33</v>
      </c>
      <c r="CM2" s="24">
        <f t="shared" si="0"/>
        <v>34</v>
      </c>
      <c r="CN2" s="24">
        <f t="shared" si="0"/>
        <v>35</v>
      </c>
      <c r="CO2" s="24">
        <f t="shared" si="0"/>
        <v>36</v>
      </c>
      <c r="CP2" s="24">
        <f t="shared" si="0"/>
        <v>37</v>
      </c>
      <c r="CQ2" s="24">
        <f t="shared" si="0"/>
        <v>38</v>
      </c>
      <c r="CR2" s="24">
        <f t="shared" si="0"/>
        <v>39</v>
      </c>
      <c r="CS2" s="24">
        <f t="shared" si="0"/>
        <v>40</v>
      </c>
      <c r="CT2" s="24">
        <f t="shared" si="0"/>
        <v>41</v>
      </c>
      <c r="CU2" s="24">
        <f t="shared" si="0"/>
        <v>42</v>
      </c>
      <c r="CV2" s="24">
        <f t="shared" si="0"/>
        <v>43</v>
      </c>
      <c r="CW2" s="24">
        <f t="shared" si="0"/>
        <v>44</v>
      </c>
      <c r="CX2" s="24">
        <f t="shared" si="0"/>
        <v>45</v>
      </c>
      <c r="CY2" s="24">
        <f t="shared" si="0"/>
        <v>46</v>
      </c>
      <c r="CZ2" s="24">
        <f t="shared" si="0"/>
        <v>47</v>
      </c>
      <c r="DA2" s="24">
        <f t="shared" si="0"/>
        <v>48</v>
      </c>
      <c r="DB2" s="24">
        <f t="shared" si="0"/>
        <v>49</v>
      </c>
      <c r="DC2" s="24">
        <f t="shared" ref="DC2" si="1">DB2+1</f>
        <v>50</v>
      </c>
      <c r="DD2" s="15"/>
      <c r="DE2" s="24"/>
      <c r="DF2" s="24"/>
      <c r="DG2" s="11"/>
      <c r="DH2" s="26" t="s">
        <v>24</v>
      </c>
      <c r="DI2" s="26" t="s">
        <v>25</v>
      </c>
      <c r="DJ2" s="9" t="s">
        <v>26</v>
      </c>
    </row>
    <row r="3" spans="2:114" x14ac:dyDescent="0.25">
      <c r="B3" s="3" t="s">
        <v>3</v>
      </c>
      <c r="C3" s="4">
        <v>43918</v>
      </c>
      <c r="E3" s="19" t="s">
        <v>15</v>
      </c>
      <c r="F3" s="28">
        <f>S/F2</f>
        <v>1130.1333333333334</v>
      </c>
      <c r="BA3" s="15">
        <f>AZ4/$C$14</f>
        <v>228885.9052058986</v>
      </c>
      <c r="BB3" s="16">
        <f>MAX(0,$C$8-BB2)</f>
        <v>0</v>
      </c>
      <c r="BD3" s="16" t="s">
        <v>19</v>
      </c>
      <c r="BE3" s="26">
        <v>0</v>
      </c>
      <c r="BF3" s="26">
        <f t="shared" ref="BF3:CK3" si="2">BE3+dt</f>
        <v>4.4383561643835615E-3</v>
      </c>
      <c r="BG3" s="26">
        <f t="shared" si="2"/>
        <v>8.876712328767123E-3</v>
      </c>
      <c r="BH3" s="26">
        <f t="shared" si="2"/>
        <v>1.3315068493150685E-2</v>
      </c>
      <c r="BI3" s="26">
        <f t="shared" si="2"/>
        <v>1.7753424657534246E-2</v>
      </c>
      <c r="BJ3" s="26">
        <f t="shared" si="2"/>
        <v>2.2191780821917806E-2</v>
      </c>
      <c r="BK3" s="26">
        <f t="shared" si="2"/>
        <v>2.6630136986301366E-2</v>
      </c>
      <c r="BL3" s="26">
        <f t="shared" si="2"/>
        <v>3.1068493150684925E-2</v>
      </c>
      <c r="BM3" s="26">
        <f t="shared" si="2"/>
        <v>3.5506849315068485E-2</v>
      </c>
      <c r="BN3" s="26">
        <f t="shared" si="2"/>
        <v>3.9945205479452045E-2</v>
      </c>
      <c r="BO3" s="26">
        <f t="shared" si="2"/>
        <v>4.4383561643835605E-2</v>
      </c>
      <c r="BP3" s="26">
        <f t="shared" si="2"/>
        <v>4.8821917808219165E-2</v>
      </c>
      <c r="BQ3" s="26">
        <f t="shared" si="2"/>
        <v>5.3260273972602724E-2</v>
      </c>
      <c r="BR3" s="26">
        <f t="shared" si="2"/>
        <v>5.7698630136986284E-2</v>
      </c>
      <c r="BS3" s="26">
        <f t="shared" si="2"/>
        <v>6.2136986301369844E-2</v>
      </c>
      <c r="BT3" s="26">
        <f t="shared" si="2"/>
        <v>6.6575342465753404E-2</v>
      </c>
      <c r="BU3" s="26">
        <f t="shared" si="2"/>
        <v>7.101369863013697E-2</v>
      </c>
      <c r="BV3" s="26">
        <f t="shared" si="2"/>
        <v>7.5452054794520537E-2</v>
      </c>
      <c r="BW3" s="26">
        <f t="shared" si="2"/>
        <v>7.9890410958904104E-2</v>
      </c>
      <c r="BX3" s="26">
        <f t="shared" si="2"/>
        <v>8.4328767123287671E-2</v>
      </c>
      <c r="BY3" s="26">
        <f t="shared" si="2"/>
        <v>8.8767123287671237E-2</v>
      </c>
      <c r="BZ3" s="26">
        <f t="shared" si="2"/>
        <v>9.3205479452054804E-2</v>
      </c>
      <c r="CA3" s="26">
        <f t="shared" si="2"/>
        <v>9.7643835616438371E-2</v>
      </c>
      <c r="CB3" s="26">
        <f t="shared" si="2"/>
        <v>0.10208219178082194</v>
      </c>
      <c r="CC3" s="26">
        <f t="shared" si="2"/>
        <v>0.1065205479452055</v>
      </c>
      <c r="CD3" s="26">
        <f t="shared" si="2"/>
        <v>0.11095890410958907</v>
      </c>
      <c r="CE3" s="26">
        <f t="shared" si="2"/>
        <v>0.11539726027397264</v>
      </c>
      <c r="CF3" s="26">
        <f t="shared" si="2"/>
        <v>0.1198356164383562</v>
      </c>
      <c r="CG3" s="26">
        <f t="shared" si="2"/>
        <v>0.12427397260273977</v>
      </c>
      <c r="CH3" s="26">
        <f t="shared" si="2"/>
        <v>0.12871232876712332</v>
      </c>
      <c r="CI3" s="26">
        <f t="shared" si="2"/>
        <v>0.13315068493150689</v>
      </c>
      <c r="CJ3" s="26">
        <f t="shared" si="2"/>
        <v>0.13758904109589046</v>
      </c>
      <c r="CK3" s="26">
        <f t="shared" si="2"/>
        <v>0.14202739726027402</v>
      </c>
      <c r="CL3" s="26">
        <f t="shared" ref="CL3:DC3" si="3">CK3+dt</f>
        <v>0.14646575342465759</v>
      </c>
      <c r="CM3" s="26">
        <f t="shared" si="3"/>
        <v>0.15090410958904116</v>
      </c>
      <c r="CN3" s="26">
        <f t="shared" si="3"/>
        <v>0.15534246575342472</v>
      </c>
      <c r="CO3" s="26">
        <f t="shared" si="3"/>
        <v>0.15978082191780829</v>
      </c>
      <c r="CP3" s="26">
        <f t="shared" si="3"/>
        <v>0.16421917808219186</v>
      </c>
      <c r="CQ3" s="26">
        <f t="shared" si="3"/>
        <v>0.16865753424657542</v>
      </c>
      <c r="CR3" s="26">
        <f t="shared" si="3"/>
        <v>0.17309589041095899</v>
      </c>
      <c r="CS3" s="26">
        <f t="shared" si="3"/>
        <v>0.17753424657534256</v>
      </c>
      <c r="CT3" s="26">
        <f t="shared" si="3"/>
        <v>0.18197260273972612</v>
      </c>
      <c r="CU3" s="26">
        <f t="shared" si="3"/>
        <v>0.18641095890410969</v>
      </c>
      <c r="CV3" s="26">
        <f t="shared" si="3"/>
        <v>0.19084931506849326</v>
      </c>
      <c r="CW3" s="26">
        <f t="shared" si="3"/>
        <v>0.19528767123287682</v>
      </c>
      <c r="CX3" s="26">
        <f t="shared" si="3"/>
        <v>0.19972602739726039</v>
      </c>
      <c r="CY3" s="26">
        <f t="shared" si="3"/>
        <v>0.20416438356164396</v>
      </c>
      <c r="CZ3" s="26">
        <f t="shared" si="3"/>
        <v>0.20860273972602753</v>
      </c>
      <c r="DA3" s="26">
        <f t="shared" si="3"/>
        <v>0.21304109589041109</v>
      </c>
      <c r="DB3" s="26">
        <f t="shared" si="3"/>
        <v>0.21747945205479466</v>
      </c>
      <c r="DC3" s="26">
        <f t="shared" si="3"/>
        <v>0.22191780821917823</v>
      </c>
      <c r="DD3" s="16" t="s">
        <v>20</v>
      </c>
      <c r="DE3" s="25" t="s">
        <v>21</v>
      </c>
      <c r="DF3" s="26" t="s">
        <v>22</v>
      </c>
      <c r="DG3" s="9" t="s">
        <v>23</v>
      </c>
    </row>
    <row r="4" spans="2:114" x14ac:dyDescent="0.25">
      <c r="B4" s="8" t="s">
        <v>4</v>
      </c>
      <c r="C4" s="10">
        <v>43999</v>
      </c>
      <c r="E4" s="5" t="s">
        <v>16</v>
      </c>
      <c r="F4" s="6">
        <f>AE25</f>
        <v>97106.811433465497</v>
      </c>
      <c r="AZ4" s="15">
        <f>AY5/$C$14</f>
        <v>220137.063955622</v>
      </c>
      <c r="BA4" s="16">
        <f>MAX((BB3*$C$15+BB5*(1-$C$15))*EXP(-$C$9*$C$13),$C$8-BA3)</f>
        <v>0</v>
      </c>
      <c r="BB4" s="15">
        <f>BA5/$C$14</f>
        <v>220137.063955622</v>
      </c>
      <c r="BD4" s="54">
        <f>F6</f>
        <v>97191.466666666674</v>
      </c>
      <c r="BE4" s="46">
        <v>0.42526153289618535</v>
      </c>
      <c r="BF4" s="46">
        <v>0.38006806301659651</v>
      </c>
      <c r="BG4" s="46">
        <v>0.33835347251839282</v>
      </c>
      <c r="BH4" s="46">
        <v>0.29998298320966338</v>
      </c>
      <c r="BI4" s="46">
        <v>0.26481718955752176</v>
      </c>
      <c r="BJ4" s="46">
        <v>0.23271252903525663</v>
      </c>
      <c r="BK4" s="46">
        <v>0.20352180823290059</v>
      </c>
      <c r="BL4" s="46">
        <v>0.17709478409794388</v>
      </c>
      <c r="BM4" s="46">
        <v>0.15327879870151473</v>
      </c>
      <c r="BN4" s="46">
        <v>0.13191946482303954</v>
      </c>
      <c r="BO4" s="46">
        <v>0.11286139841803515</v>
      </c>
      <c r="BP4" s="46">
        <v>9.5948992690109688E-2</v>
      </c>
      <c r="BQ4" s="46">
        <v>8.1027227047759678E-2</v>
      </c>
      <c r="BR4" s="46">
        <v>6.7942502716066347E-2</v>
      </c>
      <c r="BS4" s="46">
        <v>5.6543495229783448E-2</v>
      </c>
      <c r="BT4" s="46">
        <v>4.6682012505370754E-2</v>
      </c>
      <c r="BU4" s="46">
        <v>3.821384573467046E-2</v>
      </c>
      <c r="BV4" s="46">
        <v>3.0999599033629265E-2</v>
      </c>
      <c r="BW4" s="46">
        <v>2.4905482689784399E-2</v>
      </c>
      <c r="BX4" s="46">
        <v>1.9804054116921512E-2</v>
      </c>
      <c r="BY4" s="46">
        <v>1.5574890211246598E-2</v>
      </c>
      <c r="BZ4" s="46">
        <v>1.210517505345335E-2</v>
      </c>
      <c r="CA4" s="46">
        <v>9.2901876003377761E-3</v>
      </c>
      <c r="CB4" s="46">
        <v>7.0336755023608713E-3</v>
      </c>
      <c r="CC4" s="46">
        <v>5.2481033707980724E-3</v>
      </c>
      <c r="CD4" s="46">
        <v>3.8547667796964471E-3</v>
      </c>
      <c r="CE4" s="46">
        <v>2.7837669842131455E-3</v>
      </c>
      <c r="CF4" s="46">
        <v>1.9738456862767894E-3</v>
      </c>
      <c r="CG4" s="46">
        <v>1.3720840309911365E-3</v>
      </c>
      <c r="CH4" s="46">
        <v>9.334751527489769E-4</v>
      </c>
      <c r="CI4" s="46">
        <v>6.2038472069139608E-4</v>
      </c>
      <c r="CJ4" s="46">
        <v>4.0191871456807796E-4</v>
      </c>
      <c r="CK4" s="46">
        <v>2.5322171536996458E-4</v>
      </c>
      <c r="CL4" s="46">
        <v>1.5473193998309724E-4</v>
      </c>
      <c r="CM4" s="46">
        <v>9.1420746589265225E-5</v>
      </c>
      <c r="CN4" s="46">
        <v>5.2044139102360142E-5</v>
      </c>
      <c r="CO4" s="46">
        <v>2.8431795560000333E-5</v>
      </c>
      <c r="CP4" s="46">
        <v>1.4835407854702274E-5</v>
      </c>
      <c r="CQ4" s="46">
        <v>7.3529204270769835E-6</v>
      </c>
      <c r="CR4" s="46">
        <v>3.4390594822022634E-6</v>
      </c>
      <c r="CS4" s="46">
        <v>1.5059696456476274E-6</v>
      </c>
      <c r="CT4" s="46">
        <v>6.1151388726472127E-7</v>
      </c>
      <c r="CU4" s="46">
        <v>2.2750764695556155E-7</v>
      </c>
      <c r="CV4" s="46">
        <v>7.6370081402299732E-8</v>
      </c>
      <c r="CW4" s="46">
        <v>2.2667101320103633E-8</v>
      </c>
      <c r="CX4" s="46">
        <v>5.784675555979592E-9</v>
      </c>
      <c r="CY4" s="46">
        <v>1.2179385157085153E-9</v>
      </c>
      <c r="CZ4" s="46">
        <v>1.9734394398144447E-10</v>
      </c>
      <c r="DA4" s="46">
        <v>2.0933441558780952E-11</v>
      </c>
      <c r="DB4" s="46">
        <v>4.0328881888793864E-13</v>
      </c>
      <c r="DC4" s="47">
        <v>0</v>
      </c>
      <c r="DD4" s="5">
        <f>F5</f>
        <v>86</v>
      </c>
      <c r="DE4" s="29" cm="1">
        <f t="array" ref="DE4">1/2*(rf-q)*DD4*dt-1/2*(sigma^2)*(DD4^2)*dt</f>
        <v>-5.6055020301369849</v>
      </c>
      <c r="DF4" s="24">
        <f t="shared" ref="DF4:DF35" si="4">1+(sigma^2)*(DD4^2)*dt+rf*dt</f>
        <v>12.234172279452052</v>
      </c>
      <c r="DG4" s="11">
        <f t="shared" ref="DG4:DG35" si="5">-0.5*dt*((rf-q)*DD4+sigma^2*DD4^2)</f>
        <v>-5.6284039479452046</v>
      </c>
      <c r="DH4" s="25">
        <f t="shared" ref="DH4:DH35" si="6">DE4*DI5+DF4*DI4+DG4*DI3-DC4</f>
        <v>0.52659865273420436</v>
      </c>
      <c r="DI4">
        <v>0.58298526095070924</v>
      </c>
      <c r="DJ4" s="27">
        <f t="shared" ref="DJ4:DJ36" si="7">IF(DI4&lt;K-DD4*ds,K-DD4*ds,DI4)</f>
        <v>0.58298526095070924</v>
      </c>
    </row>
    <row r="5" spans="2:114" x14ac:dyDescent="0.25">
      <c r="B5" s="3" t="s">
        <v>29</v>
      </c>
      <c r="C5" s="11">
        <v>6329</v>
      </c>
      <c r="E5" s="19" t="s">
        <v>14</v>
      </c>
      <c r="F5" s="20">
        <f>ROUNDUP(F4/F3,0)</f>
        <v>86</v>
      </c>
      <c r="AY5" s="15">
        <f>AX6/$C$14</f>
        <v>211722.63483593808</v>
      </c>
      <c r="AZ5" s="16">
        <f>MAX((BA4*$C$15+BA6*(1-$C$15))*EXP(-$C$9*$C$13),$C$8-AZ4)</f>
        <v>0</v>
      </c>
      <c r="BA5" s="15">
        <f>AZ6/$C$14</f>
        <v>211722.63483593808</v>
      </c>
      <c r="BB5" s="16">
        <f>MAX(0,$C$8-BB4)</f>
        <v>0</v>
      </c>
      <c r="BD5" s="55">
        <f t="shared" ref="BD5:BD36" si="8">BD4-ds</f>
        <v>96061.333333333343</v>
      </c>
      <c r="BE5" s="48">
        <v>0.8603430644299197</v>
      </c>
      <c r="BF5" s="48">
        <v>0.76914871588330935</v>
      </c>
      <c r="BG5" s="48">
        <v>0.68495054864052718</v>
      </c>
      <c r="BH5" s="48">
        <v>0.60747927476298369</v>
      </c>
      <c r="BI5" s="48">
        <v>0.5364562485966532</v>
      </c>
      <c r="BJ5" s="48">
        <v>0.47159439946239828</v>
      </c>
      <c r="BK5" s="48">
        <v>0.41259927621658304</v>
      </c>
      <c r="BL5" s="48">
        <v>0.35917020258609933</v>
      </c>
      <c r="BM5" s="48">
        <v>0.31100154025847121</v>
      </c>
      <c r="BN5" s="48">
        <v>0.26778405452101089</v>
      </c>
      <c r="BO5" s="48">
        <v>0.22920637480175038</v>
      </c>
      <c r="BP5" s="48">
        <v>0.19495653978946215</v>
      </c>
      <c r="BQ5" s="48">
        <v>0.16472361393563956</v>
      </c>
      <c r="BR5" s="48">
        <v>0.13819935911999748</v>
      </c>
      <c r="BS5" s="48">
        <v>0.1150799421648436</v>
      </c>
      <c r="BT5" s="48">
        <v>9.5067655806251497E-2</v>
      </c>
      <c r="BU5" s="48">
        <v>7.7872627788279303E-2</v>
      </c>
      <c r="BV5" s="48">
        <v>6.3214490080723704E-2</v>
      </c>
      <c r="BW5" s="48">
        <v>5.0823977995381422E-2</v>
      </c>
      <c r="BX5" s="48">
        <v>4.0444427364745565E-2</v>
      </c>
      <c r="BY5" s="48">
        <v>3.1833137171122267E-2</v>
      </c>
      <c r="BZ5" s="48">
        <v>2.4762565198255072E-2</v>
      </c>
      <c r="CA5" s="48">
        <v>1.9021325752600012E-2</v>
      </c>
      <c r="CB5" s="48">
        <v>1.4414961240175739E-2</v>
      </c>
      <c r="CC5" s="48">
        <v>1.0766463679374574E-2</v>
      </c>
      <c r="CD5" s="48">
        <v>7.9165280237225577E-3</v>
      </c>
      <c r="CE5" s="48">
        <v>5.7235264610833699E-3</v>
      </c>
      <c r="CF5" s="48">
        <v>4.0632014827610401E-3</v>
      </c>
      <c r="CG5" s="48">
        <v>2.8280851904680564E-3</v>
      </c>
      <c r="CH5" s="48">
        <v>1.9266626023205253E-3</v>
      </c>
      <c r="CI5" s="48">
        <v>1.2823070638652598E-3</v>
      </c>
      <c r="CJ5" s="48">
        <v>8.3202558263875453E-4</v>
      </c>
      <c r="CK5" s="48">
        <v>5.250602258828666E-4</v>
      </c>
      <c r="CL5" s="48">
        <v>3.2139788117949597E-4</v>
      </c>
      <c r="CM5" s="48">
        <v>1.9024398345371618E-4</v>
      </c>
      <c r="CN5" s="48">
        <v>1.0851573609433764E-4</v>
      </c>
      <c r="CO5" s="48">
        <v>5.9406648290508143E-5</v>
      </c>
      <c r="CP5" s="48">
        <v>3.106698102031879E-5</v>
      </c>
      <c r="CQ5" s="48">
        <v>1.5434450848529518E-5</v>
      </c>
      <c r="CR5" s="48">
        <v>7.2371904966152366E-6</v>
      </c>
      <c r="CS5" s="48">
        <v>3.1777327479455471E-6</v>
      </c>
      <c r="CT5" s="48">
        <v>1.2940620470065854E-6</v>
      </c>
      <c r="CU5" s="48">
        <v>4.8291948327022354E-7</v>
      </c>
      <c r="CV5" s="48">
        <v>1.6263766015762668E-7</v>
      </c>
      <c r="CW5" s="48">
        <v>4.8441022358680294E-8</v>
      </c>
      <c r="CX5" s="48">
        <v>1.2409245389052845E-8</v>
      </c>
      <c r="CY5" s="48">
        <v>2.6241951652539787E-9</v>
      </c>
      <c r="CZ5" s="48">
        <v>4.2809860128910589E-10</v>
      </c>
      <c r="DA5" s="48">
        <v>4.6643770220654201E-11</v>
      </c>
      <c r="DB5" s="48">
        <v>1.8108227218932357E-12</v>
      </c>
      <c r="DC5" s="49">
        <f t="shared" ref="DC5:DC36" si="9">MAX(K-DD5*ds,0)</f>
        <v>0</v>
      </c>
      <c r="DD5" s="5">
        <f>DD4-1</f>
        <v>85</v>
      </c>
      <c r="DE5" s="30" cm="1">
        <f t="array" ref="DE5">1/2*(rf-q)*DD5*dt-1/2*(sigma^2)*(DD5^2)*dt</f>
        <v>-5.4757678253424649</v>
      </c>
      <c r="DF5" s="25">
        <f t="shared" si="4"/>
        <v>11.974437568493148</v>
      </c>
      <c r="DG5" s="6">
        <f t="shared" si="5"/>
        <v>-5.4984034417808205</v>
      </c>
      <c r="DH5" s="25">
        <f t="shared" si="6"/>
        <v>1.064745849639567</v>
      </c>
      <c r="DI5">
        <v>1.1784392246409827</v>
      </c>
      <c r="DJ5" s="27">
        <f t="shared" si="7"/>
        <v>1.1784392246409827</v>
      </c>
    </row>
    <row r="6" spans="2:114" x14ac:dyDescent="0.25">
      <c r="B6" s="8" t="s">
        <v>30</v>
      </c>
      <c r="C6" s="9">
        <v>5637</v>
      </c>
      <c r="E6" s="18" t="s">
        <v>18</v>
      </c>
      <c r="F6" s="9">
        <f>F5*F3</f>
        <v>97191.466666666674</v>
      </c>
      <c r="AX6" s="15">
        <f>AW7/$C$14</f>
        <v>203629.83541430655</v>
      </c>
      <c r="AY6" s="16">
        <f>MAX((AZ5*$C$15+AZ7*(1-$C$15))*EXP(-$C$9*$C$13),$C$8-AY5)</f>
        <v>0</v>
      </c>
      <c r="AZ6" s="15">
        <f>AY7/$C$14</f>
        <v>203629.83541430655</v>
      </c>
      <c r="BA6" s="16">
        <f>MAX((BB5*$C$15+BB7*(1-$C$15))*EXP(-$C$9*$C$13),$C$8-BA5)</f>
        <v>0</v>
      </c>
      <c r="BB6" s="15">
        <f>BA7/$C$14</f>
        <v>203629.83541430655</v>
      </c>
      <c r="BD6" s="55">
        <f t="shared" si="8"/>
        <v>94931.200000000012</v>
      </c>
      <c r="BE6" s="48">
        <v>1.3139191342591057</v>
      </c>
      <c r="BF6" s="48">
        <v>1.1752516523797925</v>
      </c>
      <c r="BG6" s="48">
        <v>1.0471617118350673</v>
      </c>
      <c r="BH6" s="48">
        <v>0.92924665474194312</v>
      </c>
      <c r="BI6" s="48">
        <v>0.82108954478760843</v>
      </c>
      <c r="BJ6" s="48">
        <v>0.72226054378945137</v>
      </c>
      <c r="BK6" s="48">
        <v>0.63231845666973563</v>
      </c>
      <c r="BL6" s="48">
        <v>0.55081244363577908</v>
      </c>
      <c r="BM6" s="48">
        <v>0.47728389552496175</v>
      </c>
      <c r="BN6" s="48">
        <v>0.41126846504476788</v>
      </c>
      <c r="BO6" s="48">
        <v>0.35229824302150414</v>
      </c>
      <c r="BP6" s="48">
        <v>0.29990406479485882</v>
      </c>
      <c r="BQ6" s="48">
        <v>0.25361792760777452</v>
      </c>
      <c r="BR6" s="48">
        <v>0.21297549531629423</v>
      </c>
      <c r="BS6" s="48">
        <v>0.17751866208520634</v>
      </c>
      <c r="BT6" s="48">
        <v>0.14679814207809158</v>
      </c>
      <c r="BU6" s="48">
        <v>0.12037604766516302</v>
      </c>
      <c r="BV6" s="48">
        <v>9.7828414565137092E-2</v>
      </c>
      <c r="BW6" s="48">
        <v>7.8747628849067844E-2</v>
      </c>
      <c r="BX6" s="48">
        <v>6.2744708127938864E-2</v>
      </c>
      <c r="BY6" s="48">
        <v>4.94513878518184E-2</v>
      </c>
      <c r="BZ6" s="48">
        <v>3.8521963639507932E-2</v>
      </c>
      <c r="CA6" s="48">
        <v>2.963484248194969E-2</v>
      </c>
      <c r="CB6" s="48">
        <v>2.2493759427998573E-2</v>
      </c>
      <c r="CC6" s="48">
        <v>1.6828622475410449E-2</v>
      </c>
      <c r="CD6" s="48">
        <v>1.2395956758706358E-2</v>
      </c>
      <c r="CE6" s="48">
        <v>8.9789297852855155E-3</v>
      </c>
      <c r="CF6" s="48">
        <v>6.3869522025048553E-3</v>
      </c>
      <c r="CG6" s="48">
        <v>4.4548629824087051E-3</v>
      </c>
      <c r="CH6" s="48">
        <v>3.0417233740209887E-3</v>
      </c>
      <c r="CI6" s="48">
        <v>2.0292596696714544E-3</v>
      </c>
      <c r="CJ6" s="48">
        <v>1.3200097503484494E-3</v>
      </c>
      <c r="CK6" s="48">
        <v>8.3524137669766213E-4</v>
      </c>
      <c r="CL6" s="48">
        <v>5.1272010292718851E-4</v>
      </c>
      <c r="CM6" s="48">
        <v>3.0441042555726962E-4</v>
      </c>
      <c r="CN6" s="48">
        <v>1.741944894039806E-4</v>
      </c>
      <c r="CO6" s="48">
        <v>9.5687901602696399E-5</v>
      </c>
      <c r="CP6" s="48">
        <v>5.0222018254858225E-5</v>
      </c>
      <c r="CQ6" s="48">
        <v>2.5047144909421471E-5</v>
      </c>
      <c r="CR6" s="48">
        <v>1.1792722834434162E-5</v>
      </c>
      <c r="CS6" s="48">
        <v>5.2005615393559759E-6</v>
      </c>
      <c r="CT6" s="48">
        <v>2.1276270376773268E-6</v>
      </c>
      <c r="CU6" s="48">
        <v>7.9790068591786117E-7</v>
      </c>
      <c r="CV6" s="48">
        <v>2.7012400318343208E-7</v>
      </c>
      <c r="CW6" s="48">
        <v>8.0903434414985958E-8</v>
      </c>
      <c r="CX6" s="48">
        <v>2.0848179595277557E-8</v>
      </c>
      <c r="CY6" s="48">
        <v>4.4368912928613275E-9</v>
      </c>
      <c r="CZ6" s="48">
        <v>7.2897313354988489E-10</v>
      </c>
      <c r="DA6" s="48">
        <v>8.0177267356434188E-11</v>
      </c>
      <c r="DB6" s="48">
        <v>3.1267967899825549E-12</v>
      </c>
      <c r="DC6" s="49">
        <f t="shared" si="9"/>
        <v>0</v>
      </c>
      <c r="DD6" s="5">
        <f t="shared" ref="DD6:DD69" si="10">DD5-1</f>
        <v>84</v>
      </c>
      <c r="DE6" s="30" cm="1">
        <f t="array" ref="DE6">1/2*(rf-q)*DD6*dt-1/2*(sigma^2)*(DD6^2)*dt</f>
        <v>-5.3475525369863002</v>
      </c>
      <c r="DF6" s="25">
        <f t="shared" si="4"/>
        <v>11.717740690410956</v>
      </c>
      <c r="DG6" s="6">
        <f t="shared" si="5"/>
        <v>-5.3699218520547927</v>
      </c>
      <c r="DH6" s="25">
        <f t="shared" si="6"/>
        <v>1.6245188690626575</v>
      </c>
      <c r="DI6">
        <v>1.7971749757584019</v>
      </c>
      <c r="DJ6" s="27">
        <f t="shared" si="7"/>
        <v>1.7971749757584019</v>
      </c>
    </row>
    <row r="7" spans="2:114" x14ac:dyDescent="0.25">
      <c r="B7" s="3" t="s">
        <v>5</v>
      </c>
      <c r="C7" s="11">
        <v>33904</v>
      </c>
      <c r="E7" s="34" t="s">
        <v>42</v>
      </c>
      <c r="F7" s="14">
        <f>F6-F4</f>
        <v>84.655233201177907</v>
      </c>
      <c r="AW7" s="15">
        <f>AV8/$C$14</f>
        <v>195846.37184866183</v>
      </c>
      <c r="AX7" s="16">
        <f>MAX((AY6*$C$15+AY8*(1-$C$15))*EXP(-$C$9*$C$13),$C$8-AX6)</f>
        <v>0</v>
      </c>
      <c r="AY7" s="15">
        <f>AX8/$C$14</f>
        <v>195846.37184866183</v>
      </c>
      <c r="AZ7" s="16">
        <f>MAX((BA6*$C$15+BA8*(1-$C$15))*EXP(-$C$9*$C$13),$C$8-AZ6)</f>
        <v>0</v>
      </c>
      <c r="BA7" s="15">
        <f>AZ8/$C$14</f>
        <v>195846.37184866183</v>
      </c>
      <c r="BB7" s="16">
        <f>MAX(0,$C$8-BB6)</f>
        <v>0</v>
      </c>
      <c r="BD7" s="55">
        <f t="shared" si="8"/>
        <v>93801.06666666668</v>
      </c>
      <c r="BE7" s="48">
        <v>1.7953890050984742</v>
      </c>
      <c r="BF7" s="48">
        <v>1.6070648844283975</v>
      </c>
      <c r="BG7" s="48">
        <v>1.4329904706397023</v>
      </c>
      <c r="BH7" s="48">
        <v>1.2726318280410021</v>
      </c>
      <c r="BI7" s="48">
        <v>1.1254355430831415</v>
      </c>
      <c r="BJ7" s="48">
        <v>0.99083051522043375</v>
      </c>
      <c r="BK7" s="48">
        <v>0.86822997320194717</v>
      </c>
      <c r="BL7" s="48">
        <v>0.75703371599938085</v>
      </c>
      <c r="BM7" s="48">
        <v>0.65663057390889212</v>
      </c>
      <c r="BN7" s="48">
        <v>0.56640108116061294</v>
      </c>
      <c r="BO7" s="48">
        <v>0.48572034663994934</v>
      </c>
      <c r="BP7" s="48">
        <v>0.41396110409973008</v>
      </c>
      <c r="BQ7" s="48">
        <v>0.35049691757958651</v>
      </c>
      <c r="BR7" s="48">
        <v>0.29470551173914661</v>
      </c>
      <c r="BS7" s="48">
        <v>0.24597219058312128</v>
      </c>
      <c r="BT7" s="48">
        <v>0.20369330178030867</v>
      </c>
      <c r="BU7" s="48">
        <v>0.16727969767244447</v>
      </c>
      <c r="BV7" s="48">
        <v>0.13616013839830313</v>
      </c>
      <c r="BW7" s="48">
        <v>0.10978457763694457</v>
      </c>
      <c r="BX7" s="48">
        <v>8.7627267641802731E-2</v>
      </c>
      <c r="BY7" s="48">
        <v>6.9189617963601804E-2</v>
      </c>
      <c r="BZ7" s="48">
        <v>5.400274169591434E-2</v>
      </c>
      <c r="CA7" s="48">
        <v>4.1629625108495383E-2</v>
      </c>
      <c r="CB7" s="48">
        <v>3.1666860890656241E-2</v>
      </c>
      <c r="CC7" s="48">
        <v>2.3745892747284759E-2</v>
      </c>
      <c r="CD7" s="48">
        <v>1.7533729616919701E-2</v>
      </c>
      <c r="CE7" s="48">
        <v>1.2733101435421598E-2</v>
      </c>
      <c r="CF7" s="48">
        <v>9.0820449095359249E-3</v>
      </c>
      <c r="CG7" s="48">
        <v>6.3529267204794721E-3</v>
      </c>
      <c r="CH7" s="48">
        <v>4.3509321897084252E-3</v>
      </c>
      <c r="CI7" s="48">
        <v>2.9120686559635897E-3</v>
      </c>
      <c r="CJ7" s="48">
        <v>1.9007533182174982E-3</v>
      </c>
      <c r="CK7" s="48">
        <v>1.2070735795224931E-3</v>
      </c>
      <c r="CL7" s="48">
        <v>7.4382238499635478E-4</v>
      </c>
      <c r="CM7" s="48">
        <v>4.4342016284332344E-4</v>
      </c>
      <c r="CN7" s="48">
        <v>2.5483750238289321E-4</v>
      </c>
      <c r="CO7" s="48">
        <v>1.4062787339091305E-4</v>
      </c>
      <c r="CP7" s="48">
        <v>7.4167421254589381E-5</v>
      </c>
      <c r="CQ7" s="48">
        <v>3.7179893042318444E-5</v>
      </c>
      <c r="CR7" s="48">
        <v>1.7600642279284134E-5</v>
      </c>
      <c r="CS7" s="48">
        <v>7.8067541577375065E-6</v>
      </c>
      <c r="CT7" s="48">
        <v>3.2134455986179449E-6</v>
      </c>
      <c r="CU7" s="48">
        <v>1.2129342162130009E-6</v>
      </c>
      <c r="CV7" s="48">
        <v>4.1345794147966411E-7</v>
      </c>
      <c r="CW7" s="48">
        <v>1.2473608753348735E-7</v>
      </c>
      <c r="CX7" s="48">
        <v>3.239238733821842E-8</v>
      </c>
      <c r="CY7" s="48">
        <v>6.9507770683324686E-9</v>
      </c>
      <c r="CZ7" s="48">
        <v>1.1524683124355363E-9</v>
      </c>
      <c r="DA7" s="48">
        <v>1.2826357958044451E-10</v>
      </c>
      <c r="DB7" s="48">
        <v>5.0331468996285039E-12</v>
      </c>
      <c r="DC7" s="49">
        <f t="shared" si="9"/>
        <v>0</v>
      </c>
      <c r="DD7" s="5">
        <f t="shared" si="10"/>
        <v>83</v>
      </c>
      <c r="DE7" s="30" cm="1">
        <f t="array" ref="DE7">1/2*(rf-q)*DD7*dt-1/2*(sigma^2)*(DD7^2)*dt</f>
        <v>-5.2208561650684926</v>
      </c>
      <c r="DF7" s="25">
        <f t="shared" si="4"/>
        <v>11.464081645205477</v>
      </c>
      <c r="DG7" s="6">
        <f t="shared" si="5"/>
        <v>-5.2429591787671219</v>
      </c>
      <c r="DH7" s="25">
        <f t="shared" si="6"/>
        <v>2.216815531935902</v>
      </c>
      <c r="DI7">
        <v>2.4508753935193641</v>
      </c>
      <c r="DJ7" s="27">
        <f t="shared" si="7"/>
        <v>2.4508753935193641</v>
      </c>
    </row>
    <row r="8" spans="2:114" x14ac:dyDescent="0.25">
      <c r="B8" s="5" t="s">
        <v>6</v>
      </c>
      <c r="C8" s="6">
        <v>38000</v>
      </c>
      <c r="AV8" s="15">
        <f>AU9/$C$14</f>
        <v>188360.42021173058</v>
      </c>
      <c r="AW8" s="16">
        <f>MAX((AX7*$C$15+AX9*(1-$C$15))*EXP(-$C$9*$C$13),$C$8-AW7)</f>
        <v>0</v>
      </c>
      <c r="AX8" s="15">
        <f>AW9/$C$14</f>
        <v>188360.42021173058</v>
      </c>
      <c r="AY8" s="16">
        <f>MAX((AZ7*$C$15+AZ9*(1-$C$15))*EXP(-$C$9*$C$13),$C$8-AY7)</f>
        <v>0</v>
      </c>
      <c r="AZ8" s="15">
        <f>AY9/$C$14</f>
        <v>188360.42021173058</v>
      </c>
      <c r="BA8" s="16">
        <f>MAX((BB7*$C$15+BB9*(1-$C$15))*EXP(-$C$9*$C$13),$C$8-BA7)</f>
        <v>0</v>
      </c>
      <c r="BB8" s="15">
        <f>BA9/$C$14</f>
        <v>188360.42021173058</v>
      </c>
      <c r="BD8" s="55">
        <f t="shared" si="8"/>
        <v>92670.933333333349</v>
      </c>
      <c r="BE8" s="48">
        <v>2.3150603057595589</v>
      </c>
      <c r="BF8" s="48">
        <v>2.0741303328491467</v>
      </c>
      <c r="BG8" s="48">
        <v>1.8512407754398605</v>
      </c>
      <c r="BH8" s="48">
        <v>1.6457295677981472</v>
      </c>
      <c r="BI8" s="48">
        <v>1.4569096008783367</v>
      </c>
      <c r="BJ8" s="48">
        <v>1.2840708861516608</v>
      </c>
      <c r="BK8" s="48">
        <v>1.1264830022856021</v>
      </c>
      <c r="BL8" s="48">
        <v>0.98339782500025841</v>
      </c>
      <c r="BM8" s="48">
        <v>0.85405253602033204</v>
      </c>
      <c r="BN8" s="48">
        <v>0.73767290195950352</v>
      </c>
      <c r="BO8" s="48">
        <v>0.63347680822128838</v>
      </c>
      <c r="BP8" s="48">
        <v>0.54067802660506825</v>
      </c>
      <c r="BQ8" s="48">
        <v>0.45849018832875366</v>
      </c>
      <c r="BR8" s="48">
        <v>0.38613092672002258</v>
      </c>
      <c r="BS8" s="48">
        <v>0.32282614603204224</v>
      </c>
      <c r="BT8" s="48">
        <v>0.26781436490499161</v>
      </c>
      <c r="BU8" s="48">
        <v>0.22035107517709715</v>
      </c>
      <c r="BV8" s="48">
        <v>0.17971304936463964</v>
      </c>
      <c r="BW8" s="48">
        <v>0.14520252355625218</v>
      </c>
      <c r="BX8" s="48">
        <v>0.11615117714200214</v>
      </c>
      <c r="BY8" s="48">
        <v>9.1923827174696479E-2</v>
      </c>
      <c r="BZ8" s="48">
        <v>7.1921753839032737E-2</v>
      </c>
      <c r="CA8" s="48">
        <v>5.5585574790271444E-2</v>
      </c>
      <c r="CB8" s="48">
        <v>4.2397590838761122E-2</v>
      </c>
      <c r="CC8" s="48">
        <v>3.1883533593265824E-2</v>
      </c>
      <c r="CD8" s="48">
        <v>2.3613657854937457E-2</v>
      </c>
      <c r="CE8" s="48">
        <v>1.7203137644691984E-2</v>
      </c>
      <c r="CF8" s="48">
        <v>1.2311744653003588E-2</v>
      </c>
      <c r="CG8" s="48">
        <v>8.64281111184898E-3</v>
      </c>
      <c r="CH8" s="48">
        <v>5.9415047563441872E-3</v>
      </c>
      <c r="CI8" s="48">
        <v>3.9924704416474553E-3</v>
      </c>
      <c r="CJ8" s="48">
        <v>2.616919524143516E-3</v>
      </c>
      <c r="CK8" s="48">
        <v>1.6692724304167106E-3</v>
      </c>
      <c r="CL8" s="48">
        <v>1.03347988665903E-3</v>
      </c>
      <c r="CM8" s="48">
        <v>6.1916205493971015E-4</v>
      </c>
      <c r="CN8" s="48">
        <v>3.5771057899581756E-4</v>
      </c>
      <c r="CO8" s="48">
        <v>1.9849507903830918E-4</v>
      </c>
      <c r="CP8" s="48">
        <v>1.0530255739026349E-4</v>
      </c>
      <c r="CQ8" s="48">
        <v>5.3116105402178573E-5</v>
      </c>
      <c r="CR8" s="48">
        <v>2.5309967274352758E-5</v>
      </c>
      <c r="CS8" s="48">
        <v>1.1304181634598574E-5</v>
      </c>
      <c r="CT8" s="48">
        <v>4.6872050096017564E-6</v>
      </c>
      <c r="CU8" s="48">
        <v>1.7829210193972538E-6</v>
      </c>
      <c r="CV8" s="48">
        <v>6.1272439600729969E-7</v>
      </c>
      <c r="CW8" s="48">
        <v>1.8645103061282046E-7</v>
      </c>
      <c r="CX8" s="48">
        <v>4.8863001647159254E-8</v>
      </c>
      <c r="CY8" s="48">
        <v>1.0588986227020757E-8</v>
      </c>
      <c r="CZ8" s="48">
        <v>1.7766263597909611E-9</v>
      </c>
      <c r="DA8" s="48">
        <v>2.0272048821703559E-10</v>
      </c>
      <c r="DB8" s="48">
        <v>1.0406942494700375E-11</v>
      </c>
      <c r="DC8" s="49">
        <f t="shared" si="9"/>
        <v>0</v>
      </c>
      <c r="DD8" s="5">
        <f t="shared" si="10"/>
        <v>82</v>
      </c>
      <c r="DE8" s="30" cm="1">
        <f t="array" ref="DE8">1/2*(rf-q)*DD8*dt-1/2*(sigma^2)*(DD8^2)*dt</f>
        <v>-5.0956787095890395</v>
      </c>
      <c r="DF8" s="25">
        <f t="shared" si="4"/>
        <v>11.213460432876708</v>
      </c>
      <c r="DG8" s="6">
        <f t="shared" si="5"/>
        <v>-5.1175154219178074</v>
      </c>
      <c r="DH8" s="25">
        <f t="shared" si="6"/>
        <v>2.8535535056967181</v>
      </c>
      <c r="DI8">
        <v>3.1523000301572544</v>
      </c>
      <c r="DJ8" s="27">
        <f t="shared" si="7"/>
        <v>3.1523000301572544</v>
      </c>
    </row>
    <row r="9" spans="2:114" x14ac:dyDescent="0.25">
      <c r="B9" s="5" t="s">
        <v>7</v>
      </c>
      <c r="C9" s="7">
        <v>0.06</v>
      </c>
      <c r="E9" s="3" t="s">
        <v>31</v>
      </c>
      <c r="F9" s="11">
        <f>(LN(S/K)+T*(rf^2+sigma^2/2))/(sigma*SQRT(T))</f>
        <v>-0.27317151777387372</v>
      </c>
      <c r="AU9" s="15">
        <f>AT10/$C$14</f>
        <v>181160.60852920084</v>
      </c>
      <c r="AV9" s="16">
        <f>MAX((AW8*$C$15+AW10*(1-$C$15))*EXP(-$C$9*$C$13),$C$8-AV8)</f>
        <v>0</v>
      </c>
      <c r="AW9" s="15">
        <f>AV10/$C$14</f>
        <v>181160.60852920084</v>
      </c>
      <c r="AX9" s="16">
        <f>MAX((AY8*$C$15+AY10*(1-$C$15))*EXP(-$C$9*$C$13),$C$8-AX8)</f>
        <v>0</v>
      </c>
      <c r="AY9" s="15">
        <f>AX10/$C$14</f>
        <v>181160.60852920084</v>
      </c>
      <c r="AZ9" s="16">
        <f>MAX((BA8*$C$15+BA10*(1-$C$15))*EXP(-$C$9*$C$13),$C$8-AZ8)</f>
        <v>0</v>
      </c>
      <c r="BA9" s="15">
        <f>AZ10/$C$14</f>
        <v>181160.60852920084</v>
      </c>
      <c r="BB9" s="16">
        <f>MAX(0,$C$8-BB8)</f>
        <v>0</v>
      </c>
      <c r="BD9" s="55">
        <f t="shared" si="8"/>
        <v>91540.800000000017</v>
      </c>
      <c r="BE9" s="48">
        <v>2.8843607929795447</v>
      </c>
      <c r="BF9" s="48">
        <v>2.587046606703165</v>
      </c>
      <c r="BG9" s="48">
        <v>2.3117106587158149</v>
      </c>
      <c r="BH9" s="48">
        <v>2.0575670841789258</v>
      </c>
      <c r="BI9" s="48">
        <v>1.8237989596888315</v>
      </c>
      <c r="BJ9" s="48">
        <v>1.6095607862770676</v>
      </c>
      <c r="BK9" s="48">
        <v>1.4139813128779977</v>
      </c>
      <c r="BL9" s="48">
        <v>1.2361667025805396</v>
      </c>
      <c r="BM9" s="48">
        <v>1.0752040389624618</v>
      </c>
      <c r="BN9" s="48">
        <v>0.93016516397344318</v>
      </c>
      <c r="BO9" s="48">
        <v>0.80011083217870316</v>
      </c>
      <c r="BP9" s="48">
        <v>0.68409515871816562</v>
      </c>
      <c r="BQ9" s="48">
        <v>0.58117033013291597</v>
      </c>
      <c r="BR9" s="48">
        <v>0.49039153836094668</v>
      </c>
      <c r="BS9" s="48">
        <v>0.41082208886068849</v>
      </c>
      <c r="BT9" s="48">
        <v>0.34153862419720393</v>
      </c>
      <c r="BU9" s="48">
        <v>0.28163639480403135</v>
      </c>
      <c r="BV9" s="48">
        <v>0.23023449936896651</v>
      </c>
      <c r="BW9" s="48">
        <v>0.18648100881554994</v>
      </c>
      <c r="BX9" s="48">
        <v>0.14955788067009151</v>
      </c>
      <c r="BY9" s="48">
        <v>0.11868556526246563</v>
      </c>
      <c r="BZ9" s="48">
        <v>9.3127202424494071E-2</v>
      </c>
      <c r="CA9" s="48">
        <v>7.2192307474786624E-2</v>
      </c>
      <c r="CB9" s="48">
        <v>5.5239849445644799E-2</v>
      </c>
      <c r="CC9" s="48">
        <v>4.1680632611068476E-2</v>
      </c>
      <c r="CD9" s="48">
        <v>3.0978905392589573E-2</v>
      </c>
      <c r="CE9" s="48">
        <v>2.2653138521467085E-2</v>
      </c>
      <c r="CF9" s="48">
        <v>1.6275936973425977E-2</v>
      </c>
      <c r="CG9" s="48">
        <v>1.1473077194977459E-2</v>
      </c>
      <c r="CH9" s="48">
        <v>7.9216916455337339E-3</v>
      </c>
      <c r="CI9" s="48">
        <v>5.3476553539932494E-3</v>
      </c>
      <c r="CJ9" s="48">
        <v>3.5222622345084829E-3</v>
      </c>
      <c r="CK9" s="48">
        <v>2.2583101189393067E-3</v>
      </c>
      <c r="CL9" s="48">
        <v>1.405740360047925E-3</v>
      </c>
      <c r="CM9" s="48">
        <v>8.4699788547380685E-4</v>
      </c>
      <c r="CN9" s="48">
        <v>4.9228839332351006E-4</v>
      </c>
      <c r="CO9" s="48">
        <v>2.7490917602058981E-4</v>
      </c>
      <c r="CP9" s="48">
        <v>1.4681793432755205E-4</v>
      </c>
      <c r="CQ9" s="48">
        <v>7.4580191117544216E-5</v>
      </c>
      <c r="CR9" s="48">
        <v>3.5802211313756871E-5</v>
      </c>
      <c r="CS9" s="48">
        <v>1.611573215108401E-5</v>
      </c>
      <c r="CT9" s="48">
        <v>6.7374733034437721E-6</v>
      </c>
      <c r="CU9" s="48">
        <v>2.5850865292998617E-6</v>
      </c>
      <c r="CV9" s="48">
        <v>8.9652878670494808E-7</v>
      </c>
      <c r="CW9" s="48">
        <v>2.7543926091977868E-7</v>
      </c>
      <c r="CX9" s="48">
        <v>7.2916030665722414E-8</v>
      </c>
      <c r="CY9" s="48">
        <v>1.5970980304504306E-8</v>
      </c>
      <c r="CZ9" s="48">
        <v>2.7107388951236807E-9</v>
      </c>
      <c r="DA9" s="48">
        <v>3.1361398078219394E-10</v>
      </c>
      <c r="DB9" s="48">
        <v>1.6252572886854224E-11</v>
      </c>
      <c r="DC9" s="49">
        <f t="shared" si="9"/>
        <v>0</v>
      </c>
      <c r="DD9" s="5">
        <f t="shared" si="10"/>
        <v>81</v>
      </c>
      <c r="DE9" s="30" cm="1">
        <f t="array" ref="DE9">1/2*(rf-q)*DD9*dt-1/2*(sigma^2)*(DD9^2)*dt</f>
        <v>-4.9720201705479434</v>
      </c>
      <c r="DF9" s="25">
        <f t="shared" si="4"/>
        <v>10.965877053424654</v>
      </c>
      <c r="DG9" s="6">
        <f t="shared" si="5"/>
        <v>-4.9935905815068482</v>
      </c>
      <c r="DH9" s="25">
        <f t="shared" si="6"/>
        <v>3.5478994762699774</v>
      </c>
      <c r="DI9">
        <v>3.9155226749181389</v>
      </c>
      <c r="DJ9" s="27">
        <f t="shared" si="7"/>
        <v>3.9155226749181389</v>
      </c>
    </row>
    <row r="10" spans="2:114" x14ac:dyDescent="0.25">
      <c r="B10" s="8" t="s">
        <v>8</v>
      </c>
      <c r="C10" s="12">
        <v>0.58499999999999996</v>
      </c>
      <c r="E10" s="5" t="s">
        <v>32</v>
      </c>
      <c r="F10" s="6">
        <f>(LN(S/K)+T*(rf^2-sigma^2/2))/(sigma*SQRT(T))</f>
        <v>-0.54875421301762117</v>
      </c>
      <c r="AT10" s="15">
        <f>AS11/$C$14</f>
        <v>174235.99950445673</v>
      </c>
      <c r="AU10" s="16">
        <f>MAX((AV9*$C$15+AV11*(1-$C$15))*EXP(-$C$9*$C$13),$C$8-AU9)</f>
        <v>0</v>
      </c>
      <c r="AV10" s="15">
        <f>AU11/$C$14</f>
        <v>174235.99950445673</v>
      </c>
      <c r="AW10" s="16">
        <f>MAX((AX9*$C$15+AX11*(1-$C$15))*EXP(-$C$9*$C$13),$C$8-AW9)</f>
        <v>0</v>
      </c>
      <c r="AX10" s="15">
        <f>AW11/$C$14</f>
        <v>174235.99950445673</v>
      </c>
      <c r="AY10" s="16">
        <f>MAX((AZ9*$C$15+AZ11*(1-$C$15))*EXP(-$C$9*$C$13),$C$8-AY9)</f>
        <v>0</v>
      </c>
      <c r="AZ10" s="15">
        <f>AY11/$C$14</f>
        <v>174235.99950445673</v>
      </c>
      <c r="BA10" s="16">
        <f>MAX((BB9*$C$15+BB11*(1-$C$15))*EXP(-$C$9*$C$13),$C$8-BA9)</f>
        <v>0</v>
      </c>
      <c r="BB10" s="15">
        <f>BA11/$C$14</f>
        <v>174235.99950445673</v>
      </c>
      <c r="BD10" s="55">
        <f t="shared" si="8"/>
        <v>90410.666666666686</v>
      </c>
      <c r="BE10" s="48">
        <v>3.516083058541688</v>
      </c>
      <c r="BF10" s="48">
        <v>3.1577037357896569</v>
      </c>
      <c r="BG10" s="48">
        <v>2.8254167924116014</v>
      </c>
      <c r="BH10" s="48">
        <v>2.5183182319571698</v>
      </c>
      <c r="BI10" s="48">
        <v>2.2354664570034433</v>
      </c>
      <c r="BJ10" s="48">
        <v>1.9758850043675349</v>
      </c>
      <c r="BK10" s="48">
        <v>1.7385656782057415</v>
      </c>
      <c r="BL10" s="48">
        <v>1.5224720863241832</v>
      </c>
      <c r="BM10" s="48">
        <v>1.3265435795581064</v>
      </c>
      <c r="BN10" s="48">
        <v>1.1496995876561704</v>
      </c>
      <c r="BO10" s="48">
        <v>0.99084433770692693</v>
      </c>
      <c r="BP10" s="48">
        <v>0.84887193277165995</v>
      </c>
      <c r="BQ10" s="48">
        <v>0.72267175908276893</v>
      </c>
      <c r="BR10" s="48">
        <v>0.61113418001971287</v>
      </c>
      <c r="BS10" s="48">
        <v>0.51315646423268246</v>
      </c>
      <c r="BT10" s="48">
        <v>0.42764888396330542</v>
      </c>
      <c r="BU10" s="48">
        <v>0.35354090810537303</v>
      </c>
      <c r="BV10" s="48">
        <v>0.28978740323622365</v>
      </c>
      <c r="BW10" s="48">
        <v>0.23537474520144733</v>
      </c>
      <c r="BX10" s="48">
        <v>0.18932673441377837</v>
      </c>
      <c r="BY10" s="48">
        <v>0.15071020047971836</v>
      </c>
      <c r="BZ10" s="48">
        <v>0.11864017679979051</v>
      </c>
      <c r="CA10" s="48">
        <v>9.2284524210847457E-2</v>
      </c>
      <c r="CB10" s="48">
        <v>7.0867885185939852E-2</v>
      </c>
      <c r="CC10" s="48">
        <v>5.3674857530454832E-2</v>
      </c>
      <c r="CD10" s="48">
        <v>4.0052289208980546E-2</v>
      </c>
      <c r="CE10" s="48">
        <v>2.941061456225921E-2</v>
      </c>
      <c r="CF10" s="48">
        <v>2.1224176661256599E-2</v>
      </c>
      <c r="CG10" s="48">
        <v>1.5030510655397785E-2</v>
      </c>
      <c r="CH10" s="48">
        <v>1.0428597900883116E-2</v>
      </c>
      <c r="CI10" s="48">
        <v>7.0761390579701404E-3</v>
      </c>
      <c r="CJ10" s="48">
        <v>4.6859342934290763E-3</v>
      </c>
      <c r="CK10" s="48">
        <v>3.021497735175527E-3</v>
      </c>
      <c r="CL10" s="48">
        <v>1.8920684830441375E-3</v>
      </c>
      <c r="CM10" s="48">
        <v>1.1472086394575325E-3</v>
      </c>
      <c r="CN10" s="48">
        <v>6.711969270069471E-4</v>
      </c>
      <c r="CO10" s="48">
        <v>3.774319263992163E-4</v>
      </c>
      <c r="CP10" s="48">
        <v>2.030501385280467E-4</v>
      </c>
      <c r="CQ10" s="48">
        <v>1.0394063393054553E-4</v>
      </c>
      <c r="CR10" s="48">
        <v>5.0301348214495844E-5</v>
      </c>
      <c r="CS10" s="48">
        <v>2.2835230307102105E-5</v>
      </c>
      <c r="CT10" s="48">
        <v>9.6321513660101736E-6</v>
      </c>
      <c r="CU10" s="48">
        <v>3.7304858150172198E-6</v>
      </c>
      <c r="CV10" s="48">
        <v>1.3065325598585132E-6</v>
      </c>
      <c r="CW10" s="48">
        <v>4.0556402686115678E-7</v>
      </c>
      <c r="CX10" s="48">
        <v>1.0853350786812565E-7</v>
      </c>
      <c r="CY10" s="48">
        <v>2.404720039464359E-8</v>
      </c>
      <c r="CZ10" s="48">
        <v>4.1341844704564736E-9</v>
      </c>
      <c r="DA10" s="48">
        <v>4.8779649948824303E-10</v>
      </c>
      <c r="DB10" s="48">
        <v>2.8361498920335042E-11</v>
      </c>
      <c r="DC10" s="49">
        <f t="shared" si="9"/>
        <v>0</v>
      </c>
      <c r="DD10" s="5">
        <f t="shared" si="10"/>
        <v>80</v>
      </c>
      <c r="DE10" s="30" cm="1">
        <f t="array" ref="DE10">1/2*(rf-q)*DD10*dt-1/2*(sigma^2)*(DD10^2)*dt</f>
        <v>-4.8498805479452054</v>
      </c>
      <c r="DF10" s="25">
        <f t="shared" si="4"/>
        <v>10.721331506849314</v>
      </c>
      <c r="DG10" s="6">
        <f t="shared" si="5"/>
        <v>-4.8711846575342461</v>
      </c>
      <c r="DH10" s="25">
        <f t="shared" si="6"/>
        <v>4.3145331142453642</v>
      </c>
      <c r="DI10">
        <v>4.7562045657380372</v>
      </c>
      <c r="DJ10" s="27">
        <f t="shared" si="7"/>
        <v>4.7562045657380372</v>
      </c>
    </row>
    <row r="11" spans="2:114" x14ac:dyDescent="0.25">
      <c r="B11" s="13" t="s">
        <v>11</v>
      </c>
      <c r="C11" s="14">
        <v>50</v>
      </c>
      <c r="E11" s="8" t="s">
        <v>33</v>
      </c>
      <c r="F11" s="9">
        <f>K*EXP(-rf*T)*_xlfn.NORM.S.DIST(-F10,1)-S*_xlfn.NORM.S.DIST(-F9,1)</f>
        <v>5962.2263496853884</v>
      </c>
      <c r="AS11" s="15">
        <f>AR12/$C$14</f>
        <v>167576.0739036361</v>
      </c>
      <c r="AT11" s="16">
        <f>MAX((AU10*$C$15+AU12*(1-$C$15))*EXP(-$C$9*$C$13),$C$8-AT10)</f>
        <v>0</v>
      </c>
      <c r="AU11" s="15">
        <f>AT12/$C$14</f>
        <v>167576.0739036361</v>
      </c>
      <c r="AV11" s="16">
        <f>MAX((AW10*$C$15+AW12*(1-$C$15))*EXP(-$C$9*$C$13),$C$8-AV10)</f>
        <v>0</v>
      </c>
      <c r="AW11" s="15">
        <f>AV12/$C$14</f>
        <v>167576.0739036361</v>
      </c>
      <c r="AX11" s="16">
        <f>MAX((AY10*$C$15+AY12*(1-$C$15))*EXP(-$C$9*$C$13),$C$8-AX10)</f>
        <v>0</v>
      </c>
      <c r="AY11" s="15">
        <f>AX12/$C$14</f>
        <v>167576.0739036361</v>
      </c>
      <c r="AZ11" s="16">
        <f>MAX((BA10*$C$15+BA12*(1-$C$15))*EXP(-$C$9*$C$13),$C$8-AZ10)</f>
        <v>0</v>
      </c>
      <c r="BA11" s="15">
        <f>AZ12/$C$14</f>
        <v>167576.0739036361</v>
      </c>
      <c r="BB11" s="16">
        <f>MAX(0,$C$8-BB10)</f>
        <v>0</v>
      </c>
      <c r="BD11" s="55">
        <f t="shared" si="8"/>
        <v>89280.533333333355</v>
      </c>
      <c r="BE11" s="48">
        <v>4.2246678235329442</v>
      </c>
      <c r="BF11" s="48">
        <v>3.7995554402468676</v>
      </c>
      <c r="BG11" s="48">
        <v>3.4048554779546665</v>
      </c>
      <c r="BH11" s="48">
        <v>3.0395529930079044</v>
      </c>
      <c r="BI11" s="48">
        <v>2.7025883035993505</v>
      </c>
      <c r="BJ11" s="48">
        <v>2.3928598964054686</v>
      </c>
      <c r="BK11" s="48">
        <v>2.1092277877108248</v>
      </c>
      <c r="BL11" s="48">
        <v>1.8505173484883519</v>
      </c>
      <c r="BM11" s="48">
        <v>1.6155235971866444</v>
      </c>
      <c r="BN11" s="48">
        <v>1.4030159571644538</v>
      </c>
      <c r="BO11" s="48">
        <v>1.2117434677662346</v>
      </c>
      <c r="BP11" s="48">
        <v>1.0404404289307347</v>
      </c>
      <c r="BQ11" s="48">
        <v>0.88783244898632496</v>
      </c>
      <c r="BR11" s="48">
        <v>0.7526428539790867</v>
      </c>
      <c r="BS11" s="48">
        <v>0.63359940463111308</v>
      </c>
      <c r="BT11" s="48">
        <v>0.52944125403853137</v>
      </c>
      <c r="BU11" s="48">
        <v>0.43892606577908028</v>
      </c>
      <c r="BV11" s="48">
        <v>0.36083719859248681</v>
      </c>
      <c r="BW11" s="48">
        <v>0.29399085071452152</v>
      </c>
      <c r="BX11" s="48">
        <v>0.2372430448897577</v>
      </c>
      <c r="BY11" s="48">
        <v>0.18949632477059306</v>
      </c>
      <c r="BZ11" s="48">
        <v>0.14970602563324523</v>
      </c>
      <c r="CA11" s="48">
        <v>0.11688597804635634</v>
      </c>
      <c r="CB11" s="48">
        <v>9.0113503064693443E-2</v>
      </c>
      <c r="CC11" s="48">
        <v>6.853356295444249E-2</v>
      </c>
      <c r="CD11" s="48">
        <v>5.1361942737547045E-2</v>
      </c>
      <c r="CE11" s="48">
        <v>3.7887356037203689E-2</v>
      </c>
      <c r="CF11" s="48">
        <v>2.7472393905097668E-2</v>
      </c>
      <c r="CG11" s="48">
        <v>1.9553267548864616E-2</v>
      </c>
      <c r="CH11" s="48">
        <v>1.3638334535838067E-2</v>
      </c>
      <c r="CI11" s="48">
        <v>9.305441889463778E-3</v>
      </c>
      <c r="CJ11" s="48">
        <v>6.1981665689823176E-3</v>
      </c>
      <c r="CK11" s="48">
        <v>4.0210814628035647E-3</v>
      </c>
      <c r="CL11" s="48">
        <v>2.5342199243307759E-3</v>
      </c>
      <c r="CM11" s="48">
        <v>1.5469502834282018E-3</v>
      </c>
      <c r="CN11" s="48">
        <v>9.1149980107682507E-4</v>
      </c>
      <c r="CO11" s="48">
        <v>5.1638164476773898E-4</v>
      </c>
      <c r="CP11" s="48">
        <v>2.7997595412199079E-4</v>
      </c>
      <c r="CQ11" s="48">
        <v>1.4449567259846698E-4</v>
      </c>
      <c r="CR11" s="48">
        <v>7.0530191988531454E-5</v>
      </c>
      <c r="CS11" s="48">
        <v>3.2307848342618201E-5</v>
      </c>
      <c r="CT11" s="48">
        <v>1.3756939915776617E-5</v>
      </c>
      <c r="CU11" s="48">
        <v>5.3809157513788961E-6</v>
      </c>
      <c r="CV11" s="48">
        <v>1.9041783372859416E-6</v>
      </c>
      <c r="CW11" s="48">
        <v>5.9752556041820162E-7</v>
      </c>
      <c r="CX11" s="48">
        <v>1.6173170100021521E-7</v>
      </c>
      <c r="CY11" s="48">
        <v>3.6264134922275131E-8</v>
      </c>
      <c r="CZ11" s="48">
        <v>6.3140244002082748E-9</v>
      </c>
      <c r="DA11" s="48">
        <v>7.5558376790677907E-10</v>
      </c>
      <c r="DB11" s="48">
        <v>4.4464913600430574E-11</v>
      </c>
      <c r="DC11" s="49">
        <f t="shared" si="9"/>
        <v>0</v>
      </c>
      <c r="DD11" s="5">
        <f t="shared" si="10"/>
        <v>79</v>
      </c>
      <c r="DE11" s="30" cm="1">
        <f t="array" ref="DE11">1/2*(rf-q)*DD11*dt-1/2*(sigma^2)*(DD11^2)*dt</f>
        <v>-4.7292598417808209</v>
      </c>
      <c r="DF11" s="25">
        <f t="shared" si="4"/>
        <v>10.479823793150683</v>
      </c>
      <c r="DG11" s="6">
        <f t="shared" si="5"/>
        <v>-4.7502976499999994</v>
      </c>
      <c r="DH11" s="25">
        <f t="shared" si="6"/>
        <v>5.1699515612237938</v>
      </c>
      <c r="DI11">
        <v>5.691909006053649</v>
      </c>
      <c r="DJ11" s="27">
        <f t="shared" si="7"/>
        <v>5.691909006053649</v>
      </c>
    </row>
    <row r="12" spans="2:114" x14ac:dyDescent="0.25">
      <c r="B12" s="5" t="s">
        <v>9</v>
      </c>
      <c r="C12" s="6">
        <f>(C4-C3)/365</f>
        <v>0.22191780821917809</v>
      </c>
      <c r="AR12" s="15">
        <f>AQ13/$C$14</f>
        <v>161170.71457577063</v>
      </c>
      <c r="AS12" s="16">
        <f>MAX((AT11*$C$15+AT13*(1-$C$15))*EXP(-$C$9*$C$13),$C$8-AS11)</f>
        <v>0</v>
      </c>
      <c r="AT12" s="15">
        <f>AS13/$C$14</f>
        <v>161170.71457577063</v>
      </c>
      <c r="AU12" s="16">
        <f>MAX((AV11*$C$15+AV13*(1-$C$15))*EXP(-$C$9*$C$13),$C$8-AU11)</f>
        <v>0</v>
      </c>
      <c r="AV12" s="15">
        <f>AU13/$C$14</f>
        <v>161170.71457577063</v>
      </c>
      <c r="AW12" s="16">
        <f>MAX((AX11*$C$15+AX13*(1-$C$15))*EXP(-$C$9*$C$13),$C$8-AW11)</f>
        <v>0</v>
      </c>
      <c r="AX12" s="15">
        <f>AW13/$C$14</f>
        <v>161170.71457577063</v>
      </c>
      <c r="AY12" s="16">
        <f>MAX((AZ11*$C$15+AZ13*(1-$C$15))*EXP(-$C$9*$C$13),$C$8-AY11)</f>
        <v>0</v>
      </c>
      <c r="AZ12" s="15">
        <f>AY13/$C$14</f>
        <v>161170.71457577063</v>
      </c>
      <c r="BA12" s="16">
        <f>MAX((BB11*$C$15+BB13*(1-$C$15))*EXP(-$C$9*$C$13),$C$8-BA11)</f>
        <v>0</v>
      </c>
      <c r="BB12" s="15">
        <f>BA13/$C$14</f>
        <v>161170.71457577063</v>
      </c>
      <c r="BD12" s="55">
        <f t="shared" si="8"/>
        <v>88150.400000000023</v>
      </c>
      <c r="BE12" s="48">
        <v>5.0265324046616673</v>
      </c>
      <c r="BF12" s="48">
        <v>4.5279354717287692</v>
      </c>
      <c r="BG12" s="48">
        <v>4.0643065407460623</v>
      </c>
      <c r="BH12" s="48">
        <v>3.6345286300396014</v>
      </c>
      <c r="BI12" s="48">
        <v>3.2374322337135908</v>
      </c>
      <c r="BJ12" s="48">
        <v>2.871798304549027</v>
      </c>
      <c r="BK12" s="48">
        <v>2.5363617462537049</v>
      </c>
      <c r="BL12" s="48">
        <v>2.2298154299156536</v>
      </c>
      <c r="BM12" s="48">
        <v>1.9508147437627374</v>
      </c>
      <c r="BN12" s="48">
        <v>1.6979826783683361</v>
      </c>
      <c r="BO12" s="48">
        <v>1.4699154411904951</v>
      </c>
      <c r="BP12" s="48">
        <v>1.2651885847381663</v>
      </c>
      <c r="BQ12" s="48">
        <v>1.0823636217077268</v>
      </c>
      <c r="BR12" s="48">
        <v>0.91999508815804099</v>
      </c>
      <c r="BS12" s="48">
        <v>0.77663800228638691</v>
      </c>
      <c r="BT12" s="48">
        <v>0.65085565179992022</v>
      </c>
      <c r="BU12" s="48">
        <v>0.54122762750914788</v>
      </c>
      <c r="BV12" s="48">
        <v>0.44635800496877348</v>
      </c>
      <c r="BW12" s="48">
        <v>0.36488356024593505</v>
      </c>
      <c r="BX12" s="48">
        <v>0.29548189082595622</v>
      </c>
      <c r="BY12" s="48">
        <v>0.23687929902801644</v>
      </c>
      <c r="BZ12" s="48">
        <v>0.18785828396791601</v>
      </c>
      <c r="CA12" s="48">
        <v>0.14726448018529498</v>
      </c>
      <c r="CB12" s="48">
        <v>0.11401287730572493</v>
      </c>
      <c r="CC12" s="48">
        <v>8.7093157308038183E-2</v>
      </c>
      <c r="CD12" s="48">
        <v>6.5573994365864294E-2</v>
      </c>
      <c r="CE12" s="48">
        <v>4.8606178514912439E-2</v>
      </c>
      <c r="CF12" s="48">
        <v>3.54244488229154E-2</v>
      </c>
      <c r="CG12" s="48">
        <v>2.5347954758776409E-2</v>
      </c>
      <c r="CH12" s="48">
        <v>1.7779305766616314E-2</v>
      </c>
      <c r="CI12" s="48">
        <v>1.2202217670941621E-2</v>
      </c>
      <c r="CJ12" s="48">
        <v>8.1778186550296814E-3</v>
      </c>
      <c r="CK12" s="48">
        <v>5.3397344442299519E-3</v>
      </c>
      <c r="CL12" s="48">
        <v>3.3881283845830544E-3</v>
      </c>
      <c r="CM12" s="48">
        <v>2.0829229967265039E-3</v>
      </c>
      <c r="CN12" s="48">
        <v>1.2364705405484833E-3</v>
      </c>
      <c r="CO12" s="48">
        <v>7.0596643275047275E-4</v>
      </c>
      <c r="CP12" s="48">
        <v>3.859069829307691E-4</v>
      </c>
      <c r="CQ12" s="48">
        <v>2.0087922389535768E-4</v>
      </c>
      <c r="CR12" s="48">
        <v>9.8935092431491837E-5</v>
      </c>
      <c r="CS12" s="48">
        <v>4.574700570992403E-5</v>
      </c>
      <c r="CT12" s="48">
        <v>1.967195874470847E-5</v>
      </c>
      <c r="CU12" s="48">
        <v>7.7741451754689216E-6</v>
      </c>
      <c r="CV12" s="48">
        <v>2.7808811053563229E-6</v>
      </c>
      <c r="CW12" s="48">
        <v>8.8252309663565529E-7</v>
      </c>
      <c r="CX12" s="48">
        <v>2.4170571383192656E-7</v>
      </c>
      <c r="CY12" s="48">
        <v>5.4870395950755855E-8</v>
      </c>
      <c r="CZ12" s="48">
        <v>9.6792466746798586E-9</v>
      </c>
      <c r="DA12" s="48">
        <v>1.174970599149366E-9</v>
      </c>
      <c r="DB12" s="48">
        <v>7.0044554310997541E-11</v>
      </c>
      <c r="DC12" s="49">
        <f t="shared" si="9"/>
        <v>0</v>
      </c>
      <c r="DD12" s="5">
        <f t="shared" si="10"/>
        <v>78</v>
      </c>
      <c r="DE12" s="30" cm="1">
        <f t="array" ref="DE12">1/2*(rf-q)*DD12*dt-1/2*(sigma^2)*(DD12^2)*dt</f>
        <v>-4.6101580520547936</v>
      </c>
      <c r="DF12" s="25">
        <f t="shared" si="4"/>
        <v>10.241353912328764</v>
      </c>
      <c r="DG12" s="6">
        <f t="shared" si="5"/>
        <v>-4.630929558904108</v>
      </c>
      <c r="DH12" s="25">
        <f t="shared" si="6"/>
        <v>6.1328210905280258</v>
      </c>
      <c r="DI12">
        <v>6.7424640565560683</v>
      </c>
      <c r="DJ12" s="27">
        <f t="shared" si="7"/>
        <v>6.7424640565560683</v>
      </c>
    </row>
    <row r="13" spans="2:114" x14ac:dyDescent="0.25">
      <c r="B13" s="5" t="s">
        <v>10</v>
      </c>
      <c r="C13" s="6">
        <f>C12/C11</f>
        <v>4.4383561643835615E-3</v>
      </c>
      <c r="E13" s="3" t="s">
        <v>27</v>
      </c>
      <c r="F13" s="11">
        <f>D53</f>
        <v>6271.5572127093237</v>
      </c>
      <c r="AQ13" s="15">
        <f>AP14/$C$14</f>
        <v>155010.19108373378</v>
      </c>
      <c r="AR13" s="16">
        <f>MAX((AS12*$C$15+AS14*(1-$C$15))*EXP(-$C$9*$C$13),$C$8-AR12)</f>
        <v>0</v>
      </c>
      <c r="AS13" s="15">
        <f>AR14/$C$14</f>
        <v>155010.19108373378</v>
      </c>
      <c r="AT13" s="16">
        <f>MAX((AU12*$C$15+AU14*(1-$C$15))*EXP(-$C$9*$C$13),$C$8-AT12)</f>
        <v>0</v>
      </c>
      <c r="AU13" s="15">
        <f>AT14/$C$14</f>
        <v>155010.19108373378</v>
      </c>
      <c r="AV13" s="16">
        <f>MAX((AW12*$C$15+AW14*(1-$C$15))*EXP(-$C$9*$C$13),$C$8-AV12)</f>
        <v>0</v>
      </c>
      <c r="AW13" s="15">
        <f>AV14/$C$14</f>
        <v>155010.19108373378</v>
      </c>
      <c r="AX13" s="16">
        <f>MAX((AY12*$C$15+AY14*(1-$C$15))*EXP(-$C$9*$C$13),$C$8-AX12)</f>
        <v>0</v>
      </c>
      <c r="AY13" s="15">
        <f>AX14/$C$14</f>
        <v>155010.19108373378</v>
      </c>
      <c r="AZ13" s="16">
        <f>MAX((BA12*$C$15+BA14*(1-$C$15))*EXP(-$C$9*$C$13),$C$8-AZ12)</f>
        <v>0</v>
      </c>
      <c r="BA13" s="15">
        <f>AZ14/$C$14</f>
        <v>155010.19108373378</v>
      </c>
      <c r="BB13" s="16">
        <f>MAX(0,$C$8-BB12)</f>
        <v>0</v>
      </c>
      <c r="BD13" s="55">
        <f t="shared" si="8"/>
        <v>87020.266666666692</v>
      </c>
      <c r="BE13" s="48">
        <v>5.9404520249528066</v>
      </c>
      <c r="BF13" s="48">
        <v>5.3604256599180147</v>
      </c>
      <c r="BG13" s="48">
        <v>4.820187710354694</v>
      </c>
      <c r="BH13" s="48">
        <v>4.3185300254498697</v>
      </c>
      <c r="BI13" s="48">
        <v>3.8541834589633917</v>
      </c>
      <c r="BJ13" s="48">
        <v>3.4258208184140444</v>
      </c>
      <c r="BK13" s="48">
        <v>3.0320603755414686</v>
      </c>
      <c r="BL13" s="48">
        <v>2.6714699595463922</v>
      </c>
      <c r="BM13" s="48">
        <v>2.3425716490983017</v>
      </c>
      <c r="BN13" s="48">
        <v>2.0438470722639122</v>
      </c>
      <c r="BO13" s="48">
        <v>1.7737433152400666</v>
      </c>
      <c r="BP13" s="48">
        <v>1.5306794309804619</v>
      </c>
      <c r="BQ13" s="48">
        <v>1.3130535274266264</v>
      </c>
      <c r="BR13" s="48">
        <v>1.1192504020732266</v>
      </c>
      <c r="BS13" s="48">
        <v>0.94764967505837405</v>
      </c>
      <c r="BT13" s="48">
        <v>0.79663435698796625</v>
      </c>
      <c r="BU13" s="48">
        <v>0.66459977049061181</v>
      </c>
      <c r="BV13" s="48">
        <v>0.54996272638079935</v>
      </c>
      <c r="BW13" s="48">
        <v>0.45117083674018438</v>
      </c>
      <c r="BX13" s="48">
        <v>0.36671182881782433</v>
      </c>
      <c r="BY13" s="48">
        <v>0.2951227061710191</v>
      </c>
      <c r="BZ13" s="48">
        <v>0.23499858786759115</v>
      </c>
      <c r="CA13" s="48">
        <v>0.18500104391822081</v>
      </c>
      <c r="CB13" s="48">
        <v>0.14386573676703734</v>
      </c>
      <c r="CC13" s="48">
        <v>0.11040917573429293</v>
      </c>
      <c r="CD13" s="48">
        <v>8.3534395585446369E-2</v>
      </c>
      <c r="CE13" s="48">
        <v>6.2235382709172726E-2</v>
      </c>
      <c r="CF13" s="48">
        <v>4.5600094280867552E-2</v>
      </c>
      <c r="CG13" s="48">
        <v>3.2811947773763957E-2</v>
      </c>
      <c r="CH13" s="48">
        <v>2.3149700571067331E-2</v>
      </c>
      <c r="CI13" s="48">
        <v>1.5985691665570585E-2</v>
      </c>
      <c r="CJ13" s="48">
        <v>1.0782478023944051E-2</v>
      </c>
      <c r="CK13" s="48">
        <v>7.0879645574703498E-3</v>
      </c>
      <c r="CL13" s="48">
        <v>4.5291950348372457E-3</v>
      </c>
      <c r="CM13" s="48">
        <v>2.8050368613162032E-3</v>
      </c>
      <c r="CN13" s="48">
        <v>1.6780497633739134E-3</v>
      </c>
      <c r="CO13" s="48">
        <v>9.6587103025867001E-4</v>
      </c>
      <c r="CP13" s="48">
        <v>5.3247238828383909E-4</v>
      </c>
      <c r="CQ13" s="48">
        <v>2.7964136186212996E-4</v>
      </c>
      <c r="CR13" s="48">
        <v>1.3901084436835411E-4</v>
      </c>
      <c r="CS13" s="48">
        <v>6.4905360693421504E-5</v>
      </c>
      <c r="CT13" s="48">
        <v>2.8195551879061957E-5</v>
      </c>
      <c r="CU13" s="48">
        <v>1.1261712108447917E-5</v>
      </c>
      <c r="CV13" s="48">
        <v>4.073476856631895E-6</v>
      </c>
      <c r="CW13" s="48">
        <v>1.3078619067739517E-6</v>
      </c>
      <c r="CX13" s="48">
        <v>3.6258590523135163E-7</v>
      </c>
      <c r="CY13" s="48">
        <v>8.3371156521249355E-8</v>
      </c>
      <c r="CZ13" s="48">
        <v>1.4909836058811009E-8</v>
      </c>
      <c r="DA13" s="48">
        <v>1.8409396423377943E-9</v>
      </c>
      <c r="DB13" s="48">
        <v>1.1588359833345848E-10</v>
      </c>
      <c r="DC13" s="49">
        <f t="shared" si="9"/>
        <v>0</v>
      </c>
      <c r="DD13" s="5">
        <f t="shared" si="10"/>
        <v>77</v>
      </c>
      <c r="DE13" s="30" cm="1">
        <f t="array" ref="DE13">1/2*(rf-q)*DD13*dt-1/2*(sigma^2)*(DD13^2)*dt</f>
        <v>-4.4925751787671224</v>
      </c>
      <c r="DF13" s="25">
        <f t="shared" si="4"/>
        <v>10.005921864383559</v>
      </c>
      <c r="DG13" s="6">
        <f t="shared" si="5"/>
        <v>-4.5130803842465745</v>
      </c>
      <c r="DH13" s="25">
        <f t="shared" si="6"/>
        <v>7.2243836516077131</v>
      </c>
      <c r="DI13">
        <v>7.9303810147673532</v>
      </c>
      <c r="DJ13" s="27">
        <f t="shared" si="7"/>
        <v>7.9303810147673532</v>
      </c>
    </row>
    <row r="14" spans="2:114" x14ac:dyDescent="0.25">
      <c r="B14" s="5" t="s">
        <v>0</v>
      </c>
      <c r="C14" s="6">
        <f>EXP(-C10*SQRT(C13))</f>
        <v>0.96177640889505001</v>
      </c>
      <c r="E14" s="5" t="s">
        <v>28</v>
      </c>
      <c r="F14" s="6">
        <f>G147</f>
        <v>6251.0725947357669</v>
      </c>
      <c r="W14" s="1"/>
      <c r="AP14" s="15">
        <f>AO15/$C$14</f>
        <v>149085.14492264896</v>
      </c>
      <c r="AQ14" s="16">
        <f>MAX((AR13*$C$15+AR15*(1-$C$15))*EXP(-$C$9*$C$13),$C$8-AQ13)</f>
        <v>0</v>
      </c>
      <c r="AR14" s="15">
        <f>AQ15/$C$14</f>
        <v>149085.14492264896</v>
      </c>
      <c r="AS14" s="16">
        <f>MAX((AT13*$C$15+AT15*(1-$C$15))*EXP(-$C$9*$C$13),$C$8-AS13)</f>
        <v>0</v>
      </c>
      <c r="AT14" s="15">
        <f>AS15/$C$14</f>
        <v>149085.14492264896</v>
      </c>
      <c r="AU14" s="16">
        <f>MAX((AV13*$C$15+AV15*(1-$C$15))*EXP(-$C$9*$C$13),$C$8-AU13)</f>
        <v>0</v>
      </c>
      <c r="AV14" s="15">
        <f>AU15/$C$14</f>
        <v>149085.14492264896</v>
      </c>
      <c r="AW14" s="16">
        <f>MAX((AX13*$C$15+AX15*(1-$C$15))*EXP(-$C$9*$C$13),$C$8-AW13)</f>
        <v>0</v>
      </c>
      <c r="AX14" s="15">
        <f>AW15/$C$14</f>
        <v>149085.14492264896</v>
      </c>
      <c r="AY14" s="16">
        <f>MAX((AZ13*$C$15+AZ15*(1-$C$15))*EXP(-$C$9*$C$13),$C$8-AY13)</f>
        <v>0</v>
      </c>
      <c r="AZ14" s="15">
        <f>AY15/$C$14</f>
        <v>149085.14492264896</v>
      </c>
      <c r="BA14" s="16">
        <f>MAX((BB13*$C$15+BB15*(1-$C$15))*EXP(-$C$9*$C$13),$C$8-BA13)</f>
        <v>0</v>
      </c>
      <c r="BB14" s="15">
        <f>BA15/$C$14</f>
        <v>149085.14492264896</v>
      </c>
      <c r="BD14" s="55">
        <f t="shared" si="8"/>
        <v>85890.13333333336</v>
      </c>
      <c r="BE14" s="48">
        <v>6.9880028926342455</v>
      </c>
      <c r="BF14" s="48">
        <v>6.3172845672440561</v>
      </c>
      <c r="BG14" s="48">
        <v>5.6914683525480632</v>
      </c>
      <c r="BH14" s="48">
        <v>5.109268017802723</v>
      </c>
      <c r="BI14" s="48">
        <v>4.5693271668939612</v>
      </c>
      <c r="BJ14" s="48">
        <v>4.0702220288976072</v>
      </c>
      <c r="BK14" s="48">
        <v>3.6104648573241573</v>
      </c>
      <c r="BL14" s="48">
        <v>3.1885079674594778</v>
      </c>
      <c r="BM14" s="48">
        <v>2.8027484362312398</v>
      </c>
      <c r="BN14" s="48">
        <v>2.4515334826408646</v>
      </c>
      <c r="BO14" s="48">
        <v>2.1331665388531298</v>
      </c>
      <c r="BP14" s="48">
        <v>1.8459140123919227</v>
      </c>
      <c r="BQ14" s="48">
        <v>1.5880127284368415</v>
      </c>
      <c r="BR14" s="48">
        <v>1.3576780278728531</v>
      </c>
      <c r="BS14" s="48">
        <v>1.1531124814875811</v>
      </c>
      <c r="BT14" s="48">
        <v>0.97251516358185763</v>
      </c>
      <c r="BU14" s="48">
        <v>0.81409140939467894</v>
      </c>
      <c r="BV14" s="48">
        <v>0.67606296039534952</v>
      </c>
      <c r="BW14" s="48">
        <v>0.55667838005595116</v>
      </c>
      <c r="BX14" s="48">
        <v>0.45422360074592133</v>
      </c>
      <c r="BY14" s="48">
        <v>0.36703244063689489</v>
      </c>
      <c r="BZ14" s="48">
        <v>0.29349690893102631</v>
      </c>
      <c r="CA14" s="48">
        <v>0.23207709947699307</v>
      </c>
      <c r="CB14" s="48">
        <v>0.18131045842740462</v>
      </c>
      <c r="CC14" s="48">
        <v>0.13982020223633412</v>
      </c>
      <c r="CD14" s="48">
        <v>0.10632266034388536</v>
      </c>
      <c r="CE14" s="48">
        <v>7.9633323260262068E-2</v>
      </c>
      <c r="CF14" s="48">
        <v>5.86713937994984E-2</v>
      </c>
      <c r="CG14" s="48">
        <v>4.246266786011519E-2</v>
      </c>
      <c r="CH14" s="48">
        <v>3.014061243880721E-2</v>
      </c>
      <c r="CI14" s="48">
        <v>2.0945562568114872E-2</v>
      </c>
      <c r="CJ14" s="48">
        <v>1.4222024682564907E-2</v>
      </c>
      <c r="CK14" s="48">
        <v>9.4141493528032156E-3</v>
      </c>
      <c r="CL14" s="48">
        <v>6.0595177409720445E-3</v>
      </c>
      <c r="CM14" s="48">
        <v>3.7814683756446491E-3</v>
      </c>
      <c r="CN14" s="48">
        <v>2.2802674237629031E-3</v>
      </c>
      <c r="CO14" s="48">
        <v>1.3234891259666876E-3</v>
      </c>
      <c r="CP14" s="48">
        <v>7.3601584140511899E-4</v>
      </c>
      <c r="CQ14" s="48">
        <v>3.9008243662844936E-4</v>
      </c>
      <c r="CR14" s="48">
        <v>1.957728499753749E-4</v>
      </c>
      <c r="CS14" s="48">
        <v>9.232622057314182E-5</v>
      </c>
      <c r="CT14" s="48">
        <v>4.0529011505401074E-5</v>
      </c>
      <c r="CU14" s="48">
        <v>1.6365887041440941E-5</v>
      </c>
      <c r="CV14" s="48">
        <v>5.9878073808440867E-6</v>
      </c>
      <c r="CW14" s="48">
        <v>1.9456248952353386E-6</v>
      </c>
      <c r="CX14" s="48">
        <v>5.4618640739074327E-7</v>
      </c>
      <c r="CY14" s="48">
        <v>1.272425539256255E-7</v>
      </c>
      <c r="CZ14" s="48">
        <v>2.3071033607895098E-8</v>
      </c>
      <c r="DA14" s="48">
        <v>2.8908954319603818E-9</v>
      </c>
      <c r="DB14" s="48">
        <v>1.8459572484362584E-10</v>
      </c>
      <c r="DC14" s="49">
        <f t="shared" si="9"/>
        <v>0</v>
      </c>
      <c r="DD14" s="5">
        <f t="shared" si="10"/>
        <v>76</v>
      </c>
      <c r="DE14" s="30" cm="1">
        <f t="array" ref="DE14">1/2*(rf-q)*DD14*dt-1/2*(sigma^2)*(DD14^2)*dt</f>
        <v>-4.3765112219178066</v>
      </c>
      <c r="DF14" s="25">
        <f t="shared" si="4"/>
        <v>9.7735276493150653</v>
      </c>
      <c r="DG14" s="6">
        <f t="shared" si="5"/>
        <v>-4.3967501260273965</v>
      </c>
      <c r="DH14" s="25">
        <f t="shared" si="6"/>
        <v>8.4689272212493663</v>
      </c>
      <c r="DI14">
        <v>9.2813375853750752</v>
      </c>
      <c r="DJ14" s="27">
        <f t="shared" si="7"/>
        <v>9.2813375853750752</v>
      </c>
    </row>
    <row r="15" spans="2:114" x14ac:dyDescent="0.25">
      <c r="B15" s="8" t="s">
        <v>2</v>
      </c>
      <c r="C15" s="9">
        <f>(C16-C14)/(1/C14-C14)</f>
        <v>0.49025791345750824</v>
      </c>
      <c r="E15" s="34" t="s">
        <v>35</v>
      </c>
      <c r="F15" s="14">
        <f>F13+F11-F14</f>
        <v>5982.7109676589453</v>
      </c>
      <c r="AO15" s="15">
        <f>AN16/$C$14</f>
        <v>143386.57530330343</v>
      </c>
      <c r="AP15" s="16">
        <f>MAX((AQ14*$C$15+AQ16*(1-$C$15))*EXP(-$C$9*$C$13),$C$8-AP14)</f>
        <v>0</v>
      </c>
      <c r="AQ15" s="15">
        <f>AP16/$C$14</f>
        <v>143386.57530330343</v>
      </c>
      <c r="AR15" s="16">
        <f>MAX((AS14*$C$15+AS16*(1-$C$15))*EXP(-$C$9*$C$13),$C$8-AR14)</f>
        <v>0</v>
      </c>
      <c r="AS15" s="15">
        <f>AR16/$C$14</f>
        <v>143386.57530330343</v>
      </c>
      <c r="AT15" s="16">
        <f>MAX((AU14*$C$15+AU16*(1-$C$15))*EXP(-$C$9*$C$13),$C$8-AT14)</f>
        <v>0</v>
      </c>
      <c r="AU15" s="15">
        <f>AT16/$C$14</f>
        <v>143386.57530330343</v>
      </c>
      <c r="AV15" s="16">
        <f>MAX((AW14*$C$15+AW16*(1-$C$15))*EXP(-$C$9*$C$13),$C$8-AV14)</f>
        <v>0</v>
      </c>
      <c r="AW15" s="15">
        <f>AV16/$C$14</f>
        <v>143386.57530330343</v>
      </c>
      <c r="AX15" s="16">
        <f>MAX((AY14*$C$15+AY16*(1-$C$15))*EXP(-$C$9*$C$13),$C$8-AX14)</f>
        <v>0</v>
      </c>
      <c r="AY15" s="15">
        <f>AX16/$C$14</f>
        <v>143386.57530330343</v>
      </c>
      <c r="AZ15" s="16">
        <f>MAX((BA14*$C$15+BA16*(1-$C$15))*EXP(-$C$9*$C$13),$C$8-AZ14)</f>
        <v>0</v>
      </c>
      <c r="BA15" s="15">
        <f>AZ16/$C$14</f>
        <v>143386.57530330343</v>
      </c>
      <c r="BB15" s="16">
        <f>MAX(0,$C$8-BB14)</f>
        <v>0</v>
      </c>
      <c r="BD15" s="55">
        <f t="shared" si="8"/>
        <v>84760.000000000029</v>
      </c>
      <c r="BE15" s="48">
        <v>8.1940774077007408</v>
      </c>
      <c r="BF15" s="48">
        <v>7.4219471152161676</v>
      </c>
      <c r="BG15" s="48">
        <v>6.7001529028928211</v>
      </c>
      <c r="BH15" s="48">
        <v>6.0273460529775154</v>
      </c>
      <c r="BI15" s="48">
        <v>5.4020978281057594</v>
      </c>
      <c r="BJ15" s="48">
        <v>4.8229019635930106</v>
      </c>
      <c r="BK15" s="48">
        <v>4.2881778093546137</v>
      </c>
      <c r="BL15" s="48">
        <v>3.7962741599520458</v>
      </c>
      <c r="BM15" s="48">
        <v>3.3454738071362389</v>
      </c>
      <c r="BN15" s="48">
        <v>2.9339988436726241</v>
      </c>
      <c r="BO15" s="48">
        <v>2.5600167399950839</v>
      </c>
      <c r="BP15" s="48">
        <v>2.2216472061568511</v>
      </c>
      <c r="BQ15" s="48">
        <v>1.9169698404483073</v>
      </c>
      <c r="BR15" s="48">
        <v>1.644032552781949</v>
      </c>
      <c r="BS15" s="48">
        <v>1.4008607353924862</v>
      </c>
      <c r="BT15" s="48">
        <v>1.1854671355137576</v>
      </c>
      <c r="BU15" s="48">
        <v>0.99586236450814125</v>
      </c>
      <c r="BV15" s="48">
        <v>0.83006595558392371</v>
      </c>
      <c r="BW15" s="48">
        <v>0.68611785803165914</v>
      </c>
      <c r="BX15" s="48">
        <v>0.56209023030916361</v>
      </c>
      <c r="BY15" s="48">
        <v>0.45609936798644241</v>
      </c>
      <c r="BZ15" s="48">
        <v>0.36631757645151874</v>
      </c>
      <c r="CA15" s="48">
        <v>0.29098477357383407</v>
      </c>
      <c r="CB15" s="48">
        <v>0.22841958568953447</v>
      </c>
      <c r="CC15" s="48">
        <v>0.17702968313319239</v>
      </c>
      <c r="CD15" s="48">
        <v>0.13532109094088449</v>
      </c>
      <c r="CE15" s="48">
        <v>0.10190620874256269</v>
      </c>
      <c r="CF15" s="48">
        <v>7.551028311205063E-2</v>
      </c>
      <c r="CG15" s="48">
        <v>5.4976098145104901E-2</v>
      </c>
      <c r="CH15" s="48">
        <v>3.9266687293948395E-2</v>
      </c>
      <c r="CI15" s="48">
        <v>2.7465922578470046E-2</v>
      </c>
      <c r="CJ15" s="48">
        <v>1.8776906160328739E-2</v>
      </c>
      <c r="CK15" s="48">
        <v>1.2518172452149895E-2</v>
      </c>
      <c r="CL15" s="48">
        <v>8.1178032428296173E-3</v>
      </c>
      <c r="CM15" s="48">
        <v>5.1056585980215072E-3</v>
      </c>
      <c r="CN15" s="48">
        <v>3.1040254241070388E-3</v>
      </c>
      <c r="CO15" s="48">
        <v>1.8170747816552899E-3</v>
      </c>
      <c r="CP15" s="48">
        <v>1.0195885478662338E-3</v>
      </c>
      <c r="CQ15" s="48">
        <v>5.4545626364383142E-4</v>
      </c>
      <c r="CR15" s="48">
        <v>2.7644604450691065E-4</v>
      </c>
      <c r="CS15" s="48">
        <v>1.3171478325530277E-4</v>
      </c>
      <c r="CT15" s="48">
        <v>5.8443070282873985E-5</v>
      </c>
      <c r="CU15" s="48">
        <v>2.3865980075190912E-5</v>
      </c>
      <c r="CV15" s="48">
        <v>8.8349682693717103E-6</v>
      </c>
      <c r="CW15" s="48">
        <v>2.9062216806177086E-6</v>
      </c>
      <c r="CX15" s="48">
        <v>8.2639962558077434E-7</v>
      </c>
      <c r="CY15" s="48">
        <v>1.9513188296917878E-7</v>
      </c>
      <c r="CZ15" s="48">
        <v>3.5887279338461596E-8</v>
      </c>
      <c r="DA15" s="48">
        <v>4.5691423822549089E-9</v>
      </c>
      <c r="DB15" s="48">
        <v>3.007047591236265E-10</v>
      </c>
      <c r="DC15" s="49">
        <f t="shared" si="9"/>
        <v>0</v>
      </c>
      <c r="DD15" s="5">
        <f t="shared" si="10"/>
        <v>75</v>
      </c>
      <c r="DE15" s="30" cm="1">
        <f t="array" ref="DE15">1/2*(rf-q)*DD15*dt-1/2*(sigma^2)*(DD15^2)*dt</f>
        <v>-4.2619661815068488</v>
      </c>
      <c r="DF15" s="25">
        <f t="shared" si="4"/>
        <v>9.5441712671232857</v>
      </c>
      <c r="DG15" s="6">
        <f t="shared" si="5"/>
        <v>-4.2819387842465746</v>
      </c>
      <c r="DH15" s="25">
        <f t="shared" si="6"/>
        <v>9.8943302671647899</v>
      </c>
      <c r="DI15">
        <v>10.824735997171205</v>
      </c>
      <c r="DJ15" s="27">
        <f t="shared" si="7"/>
        <v>10.824735997171205</v>
      </c>
    </row>
    <row r="16" spans="2:114" x14ac:dyDescent="0.25">
      <c r="B16" s="3" t="s">
        <v>1</v>
      </c>
      <c r="C16" s="11">
        <v>1</v>
      </c>
      <c r="AN16" s="15">
        <f>AM17/$C$14</f>
        <v>137905.82547897083</v>
      </c>
      <c r="AO16" s="16">
        <f>MAX((AP15*$C$15+AP17*(1-$C$15))*EXP(-$C$9*$C$13),$C$8-AO15)</f>
        <v>0</v>
      </c>
      <c r="AP16" s="15">
        <f>AO17/$C$14</f>
        <v>137905.82547897083</v>
      </c>
      <c r="AQ16" s="16">
        <f>MAX((AR15*$C$15+AR17*(1-$C$15))*EXP(-$C$9*$C$13),$C$8-AQ15)</f>
        <v>0</v>
      </c>
      <c r="AR16" s="15">
        <f>AQ17/$C$14</f>
        <v>137905.82547897083</v>
      </c>
      <c r="AS16" s="16">
        <f>MAX((AT15*$C$15+AT17*(1-$C$15))*EXP(-$C$9*$C$13),$C$8-AS15)</f>
        <v>0</v>
      </c>
      <c r="AT16" s="15">
        <f>AS17/$C$14</f>
        <v>137905.82547897083</v>
      </c>
      <c r="AU16" s="16">
        <f>MAX((AV15*$C$15+AV17*(1-$C$15))*EXP(-$C$9*$C$13),$C$8-AU15)</f>
        <v>0</v>
      </c>
      <c r="AV16" s="15">
        <f>AU17/$C$14</f>
        <v>137905.82547897083</v>
      </c>
      <c r="AW16" s="16">
        <f>MAX((AX15*$C$15+AX17*(1-$C$15))*EXP(-$C$9*$C$13),$C$8-AW15)</f>
        <v>0</v>
      </c>
      <c r="AX16" s="15">
        <f>AW17/$C$14</f>
        <v>137905.82547897083</v>
      </c>
      <c r="AY16" s="16">
        <f>MAX((AZ15*$C$15+AZ17*(1-$C$15))*EXP(-$C$9*$C$13),$C$8-AY15)</f>
        <v>0</v>
      </c>
      <c r="AZ16" s="15">
        <f>AY17/$C$14</f>
        <v>137905.82547897083</v>
      </c>
      <c r="BA16" s="16">
        <f>MAX((BB15*$C$15+BB17*(1-$C$15))*EXP(-$C$9*$C$13),$C$8-BA15)</f>
        <v>0</v>
      </c>
      <c r="BB16" s="15">
        <f>BA17/$C$14</f>
        <v>137905.82547897083</v>
      </c>
      <c r="BD16" s="55">
        <f t="shared" si="8"/>
        <v>83629.866666666698</v>
      </c>
      <c r="BE16" s="48">
        <v>9.5874834968973612</v>
      </c>
      <c r="BF16" s="48">
        <v>8.7016072209961433</v>
      </c>
      <c r="BG16" s="48">
        <v>7.8718460591303492</v>
      </c>
      <c r="BH16" s="48">
        <v>7.0968072047163826</v>
      </c>
      <c r="BI16" s="48">
        <v>6.3750073413643156</v>
      </c>
      <c r="BJ16" s="48">
        <v>5.7048746832333599</v>
      </c>
      <c r="BK16" s="48">
        <v>5.0847516971598372</v>
      </c>
      <c r="BL16" s="48">
        <v>4.512898555154881</v>
      </c>
      <c r="BM16" s="48">
        <v>3.9874973629428583</v>
      </c>
      <c r="BN16" s="48">
        <v>3.5066572058203813</v>
      </c>
      <c r="BO16" s="48">
        <v>3.0684200470233782</v>
      </c>
      <c r="BP16" s="48">
        <v>2.6707675057510114</v>
      </c>
      <c r="BQ16" s="48">
        <v>2.3116285317630778</v>
      </c>
      <c r="BR16" s="48">
        <v>1.9888879808061035</v>
      </c>
      <c r="BS16" s="48">
        <v>1.7003960798212214</v>
      </c>
      <c r="BT16" s="48">
        <v>1.4439787527786774</v>
      </c>
      <c r="BU16" s="48">
        <v>1.2174487569738692</v>
      </c>
      <c r="BV16" s="48">
        <v>1.0186175557147432</v>
      </c>
      <c r="BW16" s="48">
        <v>0.84530782667428428</v>
      </c>
      <c r="BX16" s="48">
        <v>0.69536647610008995</v>
      </c>
      <c r="BY16" s="48">
        <v>0.56667799811809494</v>
      </c>
      <c r="BZ16" s="48">
        <v>0.45717798636774837</v>
      </c>
      <c r="CA16" s="48">
        <v>0.36486657331217098</v>
      </c>
      <c r="CB16" s="48">
        <v>0.28782154228053636</v>
      </c>
      <c r="CC16" s="48">
        <v>0.22421083057906385</v>
      </c>
      <c r="CD16" s="48">
        <v>0.17230412091315572</v>
      </c>
      <c r="CE16" s="48">
        <v>0.13048320592557208</v>
      </c>
      <c r="CF16" s="48">
        <v>9.7250809134455468E-2</v>
      </c>
      <c r="CG16" s="48">
        <v>7.1237558362525127E-2</v>
      </c>
      <c r="CH16" s="48">
        <v>5.1206837256902241E-2</v>
      </c>
      <c r="CI16" s="48">
        <v>3.6057288974444421E-2</v>
      </c>
      <c r="CJ16" s="48">
        <v>2.4822814684711272E-2</v>
      </c>
      <c r="CK16" s="48">
        <v>1.6669997911263099E-2</v>
      </c>
      <c r="CL16" s="48">
        <v>1.0892991601657199E-2</v>
      </c>
      <c r="CM16" s="48">
        <v>6.9060234878974142E-3</v>
      </c>
      <c r="CN16" s="48">
        <v>4.2337994205447543E-3</v>
      </c>
      <c r="CO16" s="48">
        <v>2.5002040107925342E-3</v>
      </c>
      <c r="CP16" s="48">
        <v>1.4158011611524069E-3</v>
      </c>
      <c r="CQ16" s="48">
        <v>7.6471109524518669E-4</v>
      </c>
      <c r="CR16" s="48">
        <v>3.914733641719454E-4</v>
      </c>
      <c r="CS16" s="48">
        <v>1.8848815483843464E-4</v>
      </c>
      <c r="CT16" s="48">
        <v>8.4557670621390068E-5</v>
      </c>
      <c r="CU16" s="48">
        <v>3.4929487241189402E-5</v>
      </c>
      <c r="CV16" s="48">
        <v>1.3087103094532494E-5</v>
      </c>
      <c r="CW16" s="48">
        <v>4.3594944722002731E-6</v>
      </c>
      <c r="CX16" s="48">
        <v>1.2560911062460966E-6</v>
      </c>
      <c r="CY16" s="48">
        <v>3.0071259704737804E-7</v>
      </c>
      <c r="CZ16" s="48">
        <v>5.6111043481134681E-8</v>
      </c>
      <c r="DA16" s="48">
        <v>7.253991760602604E-9</v>
      </c>
      <c r="DB16" s="48">
        <v>4.8486684525631991E-10</v>
      </c>
      <c r="DC16" s="49">
        <f t="shared" si="9"/>
        <v>0</v>
      </c>
      <c r="DD16" s="5">
        <f t="shared" si="10"/>
        <v>74</v>
      </c>
      <c r="DE16" s="30" cm="1">
        <f t="array" ref="DE16">1/2*(rf-q)*DD16*dt-1/2*(sigma^2)*(DD16^2)*dt</f>
        <v>-4.1489400575342454</v>
      </c>
      <c r="DF16" s="25">
        <f t="shared" si="4"/>
        <v>9.3178527178082167</v>
      </c>
      <c r="DG16" s="6">
        <f t="shared" si="5"/>
        <v>-4.168646358904109</v>
      </c>
      <c r="DH16" s="25">
        <f t="shared" si="6"/>
        <v>11.532692195493404</v>
      </c>
      <c r="DI16">
        <v>12.594347854668097</v>
      </c>
      <c r="DJ16" s="27">
        <f t="shared" si="7"/>
        <v>12.594347854668097</v>
      </c>
    </row>
    <row r="17" spans="2:114" x14ac:dyDescent="0.25">
      <c r="B17" s="41" t="s">
        <v>40</v>
      </c>
      <c r="C17" s="9">
        <f>rf</f>
        <v>0.06</v>
      </c>
      <c r="E17" s="3" t="s">
        <v>36</v>
      </c>
      <c r="F17" s="11">
        <f>_xlfn.XLOOKUP(S,BD4:BD90,BE4:BE90,0,1,-1)</f>
        <v>6025.6354541495275</v>
      </c>
      <c r="AM17" s="15">
        <f>AL18/$C$14</f>
        <v>132634.56959487207</v>
      </c>
      <c r="AN17" s="16">
        <f>MAX((AO16*$C$15+AO18*(1-$C$15))*EXP(-$C$9*$C$13),$C$8-AN16)</f>
        <v>0</v>
      </c>
      <c r="AO17" s="15">
        <f>AN18/$C$14</f>
        <v>132634.56959487207</v>
      </c>
      <c r="AP17" s="16">
        <f>MAX((AQ16*$C$15+AQ18*(1-$C$15))*EXP(-$C$9*$C$13),$C$8-AP16)</f>
        <v>0</v>
      </c>
      <c r="AQ17" s="15">
        <f>AP18/$C$14</f>
        <v>132634.56959487207</v>
      </c>
      <c r="AR17" s="16">
        <f>MAX((AS16*$C$15+AS18*(1-$C$15))*EXP(-$C$9*$C$13),$C$8-AR16)</f>
        <v>0</v>
      </c>
      <c r="AS17" s="15">
        <f>AR18/$C$14</f>
        <v>132634.56959487207</v>
      </c>
      <c r="AT17" s="16">
        <f>MAX((AU16*$C$15+AU18*(1-$C$15))*EXP(-$C$9*$C$13),$C$8-AT16)</f>
        <v>0</v>
      </c>
      <c r="AU17" s="15">
        <f>AT18/$C$14</f>
        <v>132634.56959487207</v>
      </c>
      <c r="AV17" s="16">
        <f>MAX((AW16*$C$15+AW18*(1-$C$15))*EXP(-$C$9*$C$13),$C$8-AV16)</f>
        <v>0</v>
      </c>
      <c r="AW17" s="15">
        <f>AV18/$C$14</f>
        <v>132634.56959487207</v>
      </c>
      <c r="AX17" s="16">
        <f>MAX((AY16*$C$15+AY18*(1-$C$15))*EXP(-$C$9*$C$13),$C$8-AX16)</f>
        <v>0</v>
      </c>
      <c r="AY17" s="15">
        <f>AX18/$C$14</f>
        <v>132634.56959487207</v>
      </c>
      <c r="AZ17" s="16">
        <f>MAX((BA16*$C$15+BA18*(1-$C$15))*EXP(-$C$9*$C$13),$C$8-AZ16)</f>
        <v>0</v>
      </c>
      <c r="BA17" s="15">
        <f>AZ18/$C$14</f>
        <v>132634.56959487207</v>
      </c>
      <c r="BB17" s="16">
        <f>MAX(0,$C$8-BB16)</f>
        <v>0</v>
      </c>
      <c r="BD17" s="55">
        <f t="shared" si="8"/>
        <v>82499.733333333366</v>
      </c>
      <c r="BE17" s="48">
        <v>11.201641947784797</v>
      </c>
      <c r="BF17" s="48">
        <v>10.187897397974043</v>
      </c>
      <c r="BG17" s="48">
        <v>9.2364137484186806</v>
      </c>
      <c r="BH17" s="48">
        <v>8.3457756200609055</v>
      </c>
      <c r="BI17" s="48">
        <v>7.514466086429179</v>
      </c>
      <c r="BJ17" s="48">
        <v>6.7408680957177483</v>
      </c>
      <c r="BK17" s="48">
        <v>6.0232665952658442</v>
      </c>
      <c r="BL17" s="48">
        <v>5.3598514178896224</v>
      </c>
      <c r="BM17" s="48">
        <v>4.7487209881531705</v>
      </c>
      <c r="BN17" s="48">
        <v>4.1878869038839195</v>
      </c>
      <c r="BO17" s="48">
        <v>3.6752794437650307</v>
      </c>
      <c r="BP17" s="48">
        <v>3.208754045371677</v>
      </c>
      <c r="BQ17" s="48">
        <v>2.7860987892414948</v>
      </c>
      <c r="BR17" s="48">
        <v>2.4050429131542979</v>
      </c>
      <c r="BS17" s="48">
        <v>2.0632663664212632</v>
      </c>
      <c r="BT17" s="48">
        <v>1.7584103963502806</v>
      </c>
      <c r="BU17" s="48">
        <v>1.4880891379132684</v>
      </c>
      <c r="BV17" s="48">
        <v>1.2499021528250918</v>
      </c>
      <c r="BW17" s="48">
        <v>1.0414478357073784</v>
      </c>
      <c r="BX17" s="48">
        <v>0.86033757288153401</v>
      </c>
      <c r="BY17" s="48">
        <v>0.7042105039715425</v>
      </c>
      <c r="BZ17" s="48">
        <v>0.57074869855236388</v>
      </c>
      <c r="CA17" s="48">
        <v>0.45769252057285781</v>
      </c>
      <c r="CB17" s="48">
        <v>0.36285591364051539</v>
      </c>
      <c r="CC17" s="48">
        <v>0.28414130254981412</v>
      </c>
      <c r="CD17" s="48">
        <v>0.21955377271040796</v>
      </c>
      <c r="CE17" s="48">
        <v>0.16721416317963592</v>
      </c>
      <c r="CF17" s="48">
        <v>0.12537069320646529</v>
      </c>
      <c r="CG17" s="48">
        <v>9.2408741236402692E-2</v>
      </c>
      <c r="CH17" s="48">
        <v>6.6858412478693965E-2</v>
      </c>
      <c r="CI17" s="48">
        <v>4.7399570132330607E-2</v>
      </c>
      <c r="CJ17" s="48">
        <v>3.2864068888625898E-2</v>
      </c>
      <c r="CK17" s="48">
        <v>2.2235018691424673E-2</v>
      </c>
      <c r="CL17" s="48">
        <v>1.4643021142670017E-2</v>
      </c>
      <c r="CM17" s="48">
        <v>9.3594567871476651E-3</v>
      </c>
      <c r="CN17" s="48">
        <v>5.7870518280529514E-3</v>
      </c>
      <c r="CO17" s="48">
        <v>3.4481070357965582E-3</v>
      </c>
      <c r="CP17" s="48">
        <v>1.9709158004301689E-3</v>
      </c>
      <c r="CQ17" s="48">
        <v>1.0750161881748037E-3</v>
      </c>
      <c r="CR17" s="48">
        <v>5.5599675256924044E-4</v>
      </c>
      <c r="CS17" s="48">
        <v>2.7059317030738898E-4</v>
      </c>
      <c r="CT17" s="48">
        <v>1.2276338885808992E-4</v>
      </c>
      <c r="CU17" s="48">
        <v>5.1312354633494743E-5</v>
      </c>
      <c r="CV17" s="48">
        <v>1.94638498600698E-5</v>
      </c>
      <c r="CW17" s="48">
        <v>6.567948802551482E-6</v>
      </c>
      <c r="CX17" s="48">
        <v>1.9181746254621194E-6</v>
      </c>
      <c r="CY17" s="48">
        <v>4.6576928226310581E-7</v>
      </c>
      <c r="CZ17" s="48">
        <v>8.8210257516083648E-8</v>
      </c>
      <c r="DA17" s="48">
        <v>1.1583590163916218E-8</v>
      </c>
      <c r="DB17" s="48">
        <v>7.8680000370044067E-10</v>
      </c>
      <c r="DC17" s="49">
        <f t="shared" si="9"/>
        <v>0</v>
      </c>
      <c r="DD17" s="5">
        <f t="shared" si="10"/>
        <v>73</v>
      </c>
      <c r="DE17" s="30" cm="1">
        <f t="array" ref="DE17">1/2*(rf-q)*DD17*dt-1/2*(sigma^2)*(DD17^2)*dt</f>
        <v>-4.0374328499999992</v>
      </c>
      <c r="DF17" s="25">
        <f t="shared" si="4"/>
        <v>9.0945720013698601</v>
      </c>
      <c r="DG17" s="6">
        <f t="shared" si="5"/>
        <v>-4.0568728499999995</v>
      </c>
      <c r="DH17" s="25">
        <f t="shared" si="6"/>
        <v>13.421063435098475</v>
      </c>
      <c r="DI17">
        <v>14.62905924134115</v>
      </c>
      <c r="DJ17" s="27">
        <f t="shared" si="7"/>
        <v>14.62905924134115</v>
      </c>
    </row>
    <row r="18" spans="2:114" x14ac:dyDescent="0.25">
      <c r="B18" s="13" t="s">
        <v>39</v>
      </c>
      <c r="C18" s="14">
        <v>0</v>
      </c>
      <c r="E18" s="5" t="s">
        <v>37</v>
      </c>
      <c r="F18" s="6">
        <f>_xlfn.XLOOKUP(S,BD106:BD192,BE106:BE192,0,1,-1)</f>
        <v>5958.009949526474</v>
      </c>
      <c r="AL18" s="15">
        <f>AK19/$C$14</f>
        <v>127564.80004029666</v>
      </c>
      <c r="AM18" s="16">
        <f>MAX((AN17*$C$15+AN19*(1-$C$15))*EXP(-$C$9*$C$13),$C$8-AM17)</f>
        <v>0</v>
      </c>
      <c r="AN18" s="15">
        <f>AM19/$C$14</f>
        <v>127564.80004029666</v>
      </c>
      <c r="AO18" s="16">
        <f>MAX((AP17*$C$15+AP19*(1-$C$15))*EXP(-$C$9*$C$13),$C$8-AO17)</f>
        <v>0</v>
      </c>
      <c r="AP18" s="15">
        <f>AO19/$C$14</f>
        <v>127564.80004029666</v>
      </c>
      <c r="AQ18" s="16">
        <f>MAX((AR17*$C$15+AR19*(1-$C$15))*EXP(-$C$9*$C$13),$C$8-AQ17)</f>
        <v>0</v>
      </c>
      <c r="AR18" s="15">
        <f>AQ19/$C$14</f>
        <v>127564.80004029666</v>
      </c>
      <c r="AS18" s="16">
        <f>MAX((AT17*$C$15+AT19*(1-$C$15))*EXP(-$C$9*$C$13),$C$8-AS17)</f>
        <v>0</v>
      </c>
      <c r="AT18" s="15">
        <f>AS19/$C$14</f>
        <v>127564.80004029666</v>
      </c>
      <c r="AU18" s="16">
        <f>MAX((AV17*$C$15+AV19*(1-$C$15))*EXP(-$C$9*$C$13),$C$8-AU17)</f>
        <v>0</v>
      </c>
      <c r="AV18" s="15">
        <f>AU19/$C$14</f>
        <v>127564.80004029666</v>
      </c>
      <c r="AW18" s="16">
        <f>MAX((AX17*$C$15+AX19*(1-$C$15))*EXP(-$C$9*$C$13),$C$8-AW17)</f>
        <v>0</v>
      </c>
      <c r="AX18" s="15">
        <f>AW19/$C$14</f>
        <v>127564.80004029666</v>
      </c>
      <c r="AY18" s="16">
        <f>MAX((AZ17*$C$15+AZ19*(1-$C$15))*EXP(-$C$9*$C$13),$C$8-AY17)</f>
        <v>0</v>
      </c>
      <c r="AZ18" s="15">
        <f>AY19/$C$14</f>
        <v>127564.80004029666</v>
      </c>
      <c r="BA18" s="16">
        <f>MAX((BB17*$C$15+BB19*(1-$C$15))*EXP(-$C$9*$C$13),$C$8-BA17)</f>
        <v>0</v>
      </c>
      <c r="BB18" s="15">
        <f>BA19/$C$14</f>
        <v>127564.80004029666</v>
      </c>
      <c r="BD18" s="55">
        <f t="shared" si="8"/>
        <v>81369.600000000035</v>
      </c>
      <c r="BE18" s="48">
        <v>13.075397732340743</v>
      </c>
      <c r="BF18" s="48">
        <v>11.917681452915296</v>
      </c>
      <c r="BG18" s="48">
        <v>10.828756122283002</v>
      </c>
      <c r="BH18" s="48">
        <v>9.8072087383515623</v>
      </c>
      <c r="BI18" s="48">
        <v>8.851513301940555</v>
      </c>
      <c r="BJ18" s="48">
        <v>7.9600314437299451</v>
      </c>
      <c r="BK18" s="48">
        <v>7.1310137596557164</v>
      </c>
      <c r="BL18" s="48">
        <v>6.3626019254561363</v>
      </c>
      <c r="BM18" s="48">
        <v>5.6528316616226375</v>
      </c>
      <c r="BN18" s="48">
        <v>4.9996366192653889</v>
      </c>
      <c r="BO18" s="48">
        <v>4.4008532550510138</v>
      </c>
      <c r="BP18" s="48">
        <v>3.8542267590574877</v>
      </c>
      <c r="BQ18" s="48">
        <v>3.3574180927293815</v>
      </c>
      <c r="BR18" s="48">
        <v>2.9080121846866644</v>
      </c>
      <c r="BS18" s="48">
        <v>2.5035273195026422</v>
      </c>
      <c r="BT18" s="48">
        <v>2.1414257382781656</v>
      </c>
      <c r="BU18" s="48">
        <v>1.819125449475318</v>
      </c>
      <c r="BV18" s="48">
        <v>1.53401322366208</v>
      </c>
      <c r="BW18" s="48">
        <v>1.2834587162818281</v>
      </c>
      <c r="BX18" s="48">
        <v>1.0648296281695651</v>
      </c>
      <c r="BY18" s="48">
        <v>0.87550777438004723</v>
      </c>
      <c r="BZ18" s="48">
        <v>0.71290588835896496</v>
      </c>
      <c r="CA18" s="48">
        <v>0.57448494135453332</v>
      </c>
      <c r="CB18" s="48">
        <v>0.45777170750864987</v>
      </c>
      <c r="CC18" s="48">
        <v>0.36037625509278109</v>
      </c>
      <c r="CD18" s="48">
        <v>0.2800089965245105</v>
      </c>
      <c r="CE18" s="48">
        <v>0.21449688705305853</v>
      </c>
      <c r="CF18" s="48">
        <v>0.16179832880808614</v>
      </c>
      <c r="CG18" s="48">
        <v>0.12001631726504926</v>
      </c>
      <c r="CH18" s="48">
        <v>8.7409366642931613E-2</v>
      </c>
      <c r="CI18" s="48">
        <v>6.2399774118852086E-2</v>
      </c>
      <c r="CJ18" s="48">
        <v>4.357883479109885E-2</v>
      </c>
      <c r="CK18" s="48">
        <v>2.9708703488052032E-2</v>
      </c>
      <c r="CL18" s="48">
        <v>1.9720717202602434E-2</v>
      </c>
      <c r="CM18" s="48">
        <v>1.2710141459742388E-2</v>
      </c>
      <c r="CN18" s="48">
        <v>7.9274796110362766E-3</v>
      </c>
      <c r="CO18" s="48">
        <v>4.7666754791701217E-3</v>
      </c>
      <c r="CP18" s="48">
        <v>2.750731620565446E-3</v>
      </c>
      <c r="CQ18" s="48">
        <v>1.5154381387585362E-3</v>
      </c>
      <c r="CR18" s="48">
        <v>7.9203836079251415E-4</v>
      </c>
      <c r="CS18" s="48">
        <v>3.8972616822124907E-4</v>
      </c>
      <c r="CT18" s="48">
        <v>1.7885831503676724E-4</v>
      </c>
      <c r="CU18" s="48">
        <v>7.5665802288620617E-5</v>
      </c>
      <c r="CV18" s="48">
        <v>2.9066675930412498E-5</v>
      </c>
      <c r="CW18" s="48">
        <v>9.939143427415841E-6</v>
      </c>
      <c r="CX18" s="48">
        <v>2.9433149131911758E-6</v>
      </c>
      <c r="CY18" s="48">
        <v>7.2517354709725709E-7</v>
      </c>
      <c r="CZ18" s="48">
        <v>1.3945639459202172E-7</v>
      </c>
      <c r="DA18" s="48">
        <v>1.8616462768681772E-8</v>
      </c>
      <c r="DB18" s="48">
        <v>1.29260598034308E-9</v>
      </c>
      <c r="DC18" s="49">
        <f t="shared" si="9"/>
        <v>0</v>
      </c>
      <c r="DD18" s="5">
        <f t="shared" si="10"/>
        <v>72</v>
      </c>
      <c r="DE18" s="30" cm="1">
        <f t="array" ref="DE18">1/2*(rf-q)*DD18*dt-1/2*(sigma^2)*(DD18^2)*dt</f>
        <v>-3.9274445589041087</v>
      </c>
      <c r="DF18" s="25">
        <f t="shared" si="4"/>
        <v>8.874329117808216</v>
      </c>
      <c r="DG18" s="6">
        <f t="shared" si="5"/>
        <v>-3.9466182575342459</v>
      </c>
      <c r="DH18" s="25">
        <f t="shared" si="6"/>
        <v>15.602290807245438</v>
      </c>
      <c r="DI18">
        <v>16.973731531541148</v>
      </c>
      <c r="DJ18" s="27">
        <f t="shared" si="7"/>
        <v>16.973731531541148</v>
      </c>
    </row>
    <row r="19" spans="2:114" x14ac:dyDescent="0.25">
      <c r="E19" s="34" t="s">
        <v>35</v>
      </c>
      <c r="F19" s="37">
        <f>F17+F11-F18</f>
        <v>6029.8518543084419</v>
      </c>
      <c r="AK19" s="15">
        <f>AJ20/$C$14</f>
        <v>122688.81528417165</v>
      </c>
      <c r="AL19" s="16">
        <f>MAX((AM18*$C$15+AM20*(1-$C$15))*EXP(-$C$9*$C$13),$C$8-AL18)</f>
        <v>0</v>
      </c>
      <c r="AM19" s="15">
        <f>AL20/$C$14</f>
        <v>122688.81528417165</v>
      </c>
      <c r="AN19" s="16">
        <f>MAX((AO18*$C$15+AO20*(1-$C$15))*EXP(-$C$9*$C$13),$C$8-AN18)</f>
        <v>0</v>
      </c>
      <c r="AO19" s="15">
        <f>AN20/$C$14</f>
        <v>122688.81528417165</v>
      </c>
      <c r="AP19" s="16">
        <f>MAX((AQ18*$C$15+AQ20*(1-$C$15))*EXP(-$C$9*$C$13),$C$8-AP18)</f>
        <v>0</v>
      </c>
      <c r="AQ19" s="15">
        <f>AP20/$C$14</f>
        <v>122688.81528417165</v>
      </c>
      <c r="AR19" s="16">
        <f>MAX((AS18*$C$15+AS20*(1-$C$15))*EXP(-$C$9*$C$13),$C$8-AR18)</f>
        <v>0</v>
      </c>
      <c r="AS19" s="15">
        <f>AR20/$C$14</f>
        <v>122688.81528417165</v>
      </c>
      <c r="AT19" s="16">
        <f>MAX((AU18*$C$15+AU20*(1-$C$15))*EXP(-$C$9*$C$13),$C$8-AT18)</f>
        <v>0</v>
      </c>
      <c r="AU19" s="15">
        <f>AT20/$C$14</f>
        <v>122688.81528417165</v>
      </c>
      <c r="AV19" s="16">
        <f>MAX((AW18*$C$15+AW20*(1-$C$15))*EXP(-$C$9*$C$13),$C$8-AV18)</f>
        <v>0</v>
      </c>
      <c r="AW19" s="15">
        <f>AV20/$C$14</f>
        <v>122688.81528417165</v>
      </c>
      <c r="AX19" s="16">
        <f>MAX((AY18*$C$15+AY20*(1-$C$15))*EXP(-$C$9*$C$13),$C$8-AX18)</f>
        <v>0</v>
      </c>
      <c r="AY19" s="15">
        <f>AX20/$C$14</f>
        <v>122688.81528417165</v>
      </c>
      <c r="AZ19" s="16">
        <f>MAX((BA18*$C$15+BA20*(1-$C$15))*EXP(-$C$9*$C$13),$C$8-AZ18)</f>
        <v>0</v>
      </c>
      <c r="BA19" s="15">
        <f>AZ20/$C$14</f>
        <v>122688.81528417165</v>
      </c>
      <c r="BB19" s="16">
        <f>MAX(0,$C$8-BB18)</f>
        <v>0</v>
      </c>
      <c r="BD19" s="55">
        <f t="shared" si="8"/>
        <v>80239.466666666704</v>
      </c>
      <c r="BE19" s="48">
        <v>15.253963702374174</v>
      </c>
      <c r="BF19" s="48">
        <v>13.933978879795013</v>
      </c>
      <c r="BG19" s="48">
        <v>12.689711374946832</v>
      </c>
      <c r="BH19" s="48">
        <v>11.519779249646085</v>
      </c>
      <c r="BI19" s="48">
        <v>10.422675895755068</v>
      </c>
      <c r="BJ19" s="48">
        <v>9.3967696827765579</v>
      </c>
      <c r="BK19" s="48">
        <v>8.4403043020179052</v>
      </c>
      <c r="BL19" s="48">
        <v>7.5513998891983825</v>
      </c>
      <c r="BM19" s="48">
        <v>6.7280550101800563</v>
      </c>
      <c r="BN19" s="48">
        <v>5.9681495962147126</v>
      </c>
      <c r="BO19" s="48">
        <v>5.269448915376735</v>
      </c>
      <c r="BP19" s="48">
        <v>4.6296086653004247</v>
      </c>
      <c r="BQ19" s="48">
        <v>4.0461812685085139</v>
      </c>
      <c r="BR19" s="48">
        <v>3.5166234449988787</v>
      </c>
      <c r="BS19" s="48">
        <v>3.0383051267941905</v>
      </c>
      <c r="BT19" s="48">
        <v>2.6085197652581371</v>
      </c>
      <c r="BU19" s="48">
        <v>2.2244960635304389</v>
      </c>
      <c r="BV19" s="48">
        <v>1.8834111428269478</v>
      </c>
      <c r="BW19" s="48">
        <v>1.5824051220413575</v>
      </c>
      <c r="BX19" s="48">
        <v>1.3185970546300283</v>
      </c>
      <c r="BY19" s="48">
        <v>1.0891021249048787</v>
      </c>
      <c r="BZ19" s="48">
        <v>0.89104995762255801</v>
      </c>
      <c r="CA19" s="48">
        <v>0.72160384055359483</v>
      </c>
      <c r="CB19" s="48">
        <v>0.57798060047985644</v>
      </c>
      <c r="CC19" s="48">
        <v>0.45747081036623627</v>
      </c>
      <c r="CD19" s="48">
        <v>0.35745894183570392</v>
      </c>
      <c r="CE19" s="48">
        <v>0.275443015446654</v>
      </c>
      <c r="CF19" s="48">
        <v>0.20905324675827625</v>
      </c>
      <c r="CG19" s="48">
        <v>0.1560691431140884</v>
      </c>
      <c r="CH19" s="48">
        <v>0.11443448159028423</v>
      </c>
      <c r="CI19" s="48">
        <v>8.2269598938508201E-2</v>
      </c>
      <c r="CJ19" s="48">
        <v>5.788045669340703E-2</v>
      </c>
      <c r="CK19" s="48">
        <v>3.9764015030312801E-2</v>
      </c>
      <c r="CL19" s="48">
        <v>2.660956183144584E-2</v>
      </c>
      <c r="CM19" s="48">
        <v>1.7295800045703792E-2</v>
      </c>
      <c r="CN19" s="48">
        <v>1.0883693608523842E-2</v>
      </c>
      <c r="CO19" s="48">
        <v>6.6053009254557846E-3</v>
      </c>
      <c r="CP19" s="48">
        <v>3.8490695539598607E-3</v>
      </c>
      <c r="CQ19" s="48">
        <v>2.1423039282588512E-3</v>
      </c>
      <c r="CR19" s="48">
        <v>1.1317221413728472E-3</v>
      </c>
      <c r="CS19" s="48">
        <v>5.6315804587682449E-4</v>
      </c>
      <c r="CT19" s="48">
        <v>2.615139400204308E-4</v>
      </c>
      <c r="CU19" s="48">
        <v>1.1200826801355391E-4</v>
      </c>
      <c r="CV19" s="48">
        <v>4.3588572472624139E-5</v>
      </c>
      <c r="CW19" s="48">
        <v>1.5108732750173016E-5</v>
      </c>
      <c r="CX19" s="48">
        <v>4.53843467739643E-6</v>
      </c>
      <c r="CY19" s="48">
        <v>1.1350231945494307E-6</v>
      </c>
      <c r="CZ19" s="48">
        <v>2.2172564148402491E-7</v>
      </c>
      <c r="DA19" s="48">
        <v>3.0091297344561806E-8</v>
      </c>
      <c r="DB19" s="48">
        <v>2.1254817392128532E-9</v>
      </c>
      <c r="DC19" s="49">
        <f t="shared" si="9"/>
        <v>0</v>
      </c>
      <c r="DD19" s="5">
        <f t="shared" si="10"/>
        <v>71</v>
      </c>
      <c r="DE19" s="30" cm="1">
        <f t="array" ref="DE19">1/2*(rf-q)*DD19*dt-1/2*(sigma^2)*(DD19^2)*dt</f>
        <v>-3.8189751842465745</v>
      </c>
      <c r="DF19" s="25">
        <f t="shared" si="4"/>
        <v>8.6571240671232843</v>
      </c>
      <c r="DG19" s="6">
        <f t="shared" si="5"/>
        <v>-3.8378825815068485</v>
      </c>
      <c r="DH19" s="25">
        <f t="shared" si="6"/>
        <v>18.125996072175866</v>
      </c>
      <c r="DI19">
        <v>19.680195534093009</v>
      </c>
      <c r="DJ19" s="27">
        <f t="shared" si="7"/>
        <v>19.680195534093009</v>
      </c>
    </row>
    <row r="20" spans="2:114" x14ac:dyDescent="0.25">
      <c r="B20" t="s">
        <v>41</v>
      </c>
      <c r="C20" s="38">
        <f>K-S-F19</f>
        <v>-1933.8518543084419</v>
      </c>
      <c r="AJ20" s="15">
        <f>AI21/$C$14</f>
        <v>117999.20817559873</v>
      </c>
      <c r="AK20" s="16">
        <f>MAX((AL19*$C$15+AL21*(1-$C$15))*EXP(-$C$9*$C$13),$C$8-AK19)</f>
        <v>0</v>
      </c>
      <c r="AL20" s="15">
        <f>AK21/$C$14</f>
        <v>117999.20817559873</v>
      </c>
      <c r="AM20" s="16">
        <f>MAX((AN19*$C$15+AN21*(1-$C$15))*EXP(-$C$9*$C$13),$C$8-AM19)</f>
        <v>0</v>
      </c>
      <c r="AN20" s="15">
        <f>AM21/$C$14</f>
        <v>117999.20817559873</v>
      </c>
      <c r="AO20" s="16">
        <f>MAX((AP19*$C$15+AP21*(1-$C$15))*EXP(-$C$9*$C$13),$C$8-AO19)</f>
        <v>0</v>
      </c>
      <c r="AP20" s="15">
        <f>AO21/$C$14</f>
        <v>117999.20817559873</v>
      </c>
      <c r="AQ20" s="16">
        <f>MAX((AR19*$C$15+AR21*(1-$C$15))*EXP(-$C$9*$C$13),$C$8-AQ19)</f>
        <v>0</v>
      </c>
      <c r="AR20" s="15">
        <f>AQ21/$C$14</f>
        <v>117999.20817559873</v>
      </c>
      <c r="AS20" s="16">
        <f>MAX((AT19*$C$15+AT21*(1-$C$15))*EXP(-$C$9*$C$13),$C$8-AS19)</f>
        <v>0</v>
      </c>
      <c r="AT20" s="15">
        <f>AS21/$C$14</f>
        <v>117999.20817559873</v>
      </c>
      <c r="AU20" s="16">
        <f>MAX((AV19*$C$15+AV21*(1-$C$15))*EXP(-$C$9*$C$13),$C$8-AU19)</f>
        <v>0</v>
      </c>
      <c r="AV20" s="15">
        <f>AU21/$C$14</f>
        <v>117999.20817559873</v>
      </c>
      <c r="AW20" s="16">
        <f>MAX((AX19*$C$15+AX21*(1-$C$15))*EXP(-$C$9*$C$13),$C$8-AW19)</f>
        <v>0</v>
      </c>
      <c r="AX20" s="15">
        <f>AW21/$C$14</f>
        <v>117999.20817559873</v>
      </c>
      <c r="AY20" s="16">
        <f>MAX((AZ19*$C$15+AZ21*(1-$C$15))*EXP(-$C$9*$C$13),$C$8-AY19)</f>
        <v>0</v>
      </c>
      <c r="AZ20" s="15">
        <f>AY21/$C$14</f>
        <v>117999.20817559873</v>
      </c>
      <c r="BA20" s="16">
        <f>MAX((BB19*$C$15+BB21*(1-$C$15))*EXP(-$C$9*$C$13),$C$8-BA19)</f>
        <v>0</v>
      </c>
      <c r="BB20" s="15">
        <f>BA21/$C$14</f>
        <v>117999.20817559873</v>
      </c>
      <c r="BD20" s="55">
        <f t="shared" si="8"/>
        <v>79109.333333333372</v>
      </c>
      <c r="BE20" s="48">
        <v>17.790017721013392</v>
      </c>
      <c r="BF20" s="48">
        <v>16.287042328169115</v>
      </c>
      <c r="BG20" s="48">
        <v>14.867112054667103</v>
      </c>
      <c r="BH20" s="48">
        <v>13.528908728534544</v>
      </c>
      <c r="BI20" s="48">
        <v>12.270977860771247</v>
      </c>
      <c r="BJ20" s="48">
        <v>11.091727126320192</v>
      </c>
      <c r="BK20" s="48">
        <v>9.9894255082809185</v>
      </c>
      <c r="BL20" s="48">
        <v>8.9622031977360059</v>
      </c>
      <c r="BM20" s="48">
        <v>8.0080523469213567</v>
      </c>
      <c r="BN20" s="48">
        <v>7.1248287780270072</v>
      </c>
      <c r="BO20" s="48">
        <v>6.3102547533149433</v>
      </c>
      <c r="BP20" s="48">
        <v>5.5619229140605233</v>
      </c>
      <c r="BQ20" s="48">
        <v>4.8773014955659351</v>
      </c>
      <c r="BR20" s="48">
        <v>4.2537409225740364</v>
      </c>
      <c r="BS20" s="48">
        <v>3.6884818831669213</v>
      </c>
      <c r="BT20" s="48">
        <v>3.1786649689232083</v>
      </c>
      <c r="BU20" s="48">
        <v>2.7213419539262711</v>
      </c>
      <c r="BV20" s="48">
        <v>2.313488764313695</v>
      </c>
      <c r="BW20" s="48">
        <v>1.9520201625845346</v>
      </c>
      <c r="BX20" s="48">
        <v>1.6338061360312908</v>
      </c>
      <c r="BY20" s="48">
        <v>1.3556899357616443</v>
      </c>
      <c r="BZ20" s="48">
        <v>1.1145076613714431</v>
      </c>
      <c r="CA20" s="48">
        <v>0.90710922633371982</v>
      </c>
      <c r="CB20" s="48">
        <v>0.73038047100441961</v>
      </c>
      <c r="CC20" s="48">
        <v>0.58126611494491132</v>
      </c>
      <c r="CD20" s="48">
        <v>0.45679316004036091</v>
      </c>
      <c r="CE20" s="48">
        <v>0.35409427387285308</v>
      </c>
      <c r="CF20" s="48">
        <v>0.27043060325308754</v>
      </c>
      <c r="CG20" s="48">
        <v>0.2032133969075573</v>
      </c>
      <c r="CH20" s="48">
        <v>0.15002376093878489</v>
      </c>
      <c r="CI20" s="48">
        <v>0.10862983970850792</v>
      </c>
      <c r="CJ20" s="48">
        <v>7.7000717338664884E-2</v>
      </c>
      <c r="CK20" s="48">
        <v>5.3316380510471328E-2</v>
      </c>
      <c r="CL20" s="48">
        <v>3.5973179832966044E-2</v>
      </c>
      <c r="CM20" s="48">
        <v>2.3584380204477205E-2</v>
      </c>
      <c r="CN20" s="48">
        <v>1.4975601124564369E-2</v>
      </c>
      <c r="CO20" s="48">
        <v>9.175209997682553E-3</v>
      </c>
      <c r="CP20" s="48">
        <v>5.4000308464006086E-3</v>
      </c>
      <c r="CQ20" s="48">
        <v>3.0370438626983369E-3</v>
      </c>
      <c r="CR20" s="48">
        <v>1.6220452974978084E-3</v>
      </c>
      <c r="CS20" s="48">
        <v>8.1647346098267864E-4</v>
      </c>
      <c r="CT20" s="48">
        <v>3.8374514093518844E-4</v>
      </c>
      <c r="CU20" s="48">
        <v>1.6645420069182898E-4</v>
      </c>
      <c r="CV20" s="48">
        <v>6.5642867997291304E-5</v>
      </c>
      <c r="CW20" s="48">
        <v>2.3072812902324222E-5</v>
      </c>
      <c r="CX20" s="48">
        <v>7.0329595361263511E-6</v>
      </c>
      <c r="CY20" s="48">
        <v>1.78613523688499E-6</v>
      </c>
      <c r="CZ20" s="48">
        <v>3.5460401106579811E-7</v>
      </c>
      <c r="DA20" s="48">
        <v>4.8954732905743889E-8</v>
      </c>
      <c r="DB20" s="48">
        <v>3.52602037714467E-9</v>
      </c>
      <c r="DC20" s="49">
        <f t="shared" si="9"/>
        <v>0</v>
      </c>
      <c r="DD20" s="5">
        <f t="shared" si="10"/>
        <v>70</v>
      </c>
      <c r="DE20" s="30" cm="1">
        <f t="array" ref="DE20">1/2*(rf-q)*DD20*dt-1/2*(sigma^2)*(DD20^2)*dt</f>
        <v>-3.7120247260273964</v>
      </c>
      <c r="DF20" s="25">
        <f t="shared" si="4"/>
        <v>8.4429568493150668</v>
      </c>
      <c r="DG20" s="6">
        <f t="shared" si="5"/>
        <v>-3.7306658219178077</v>
      </c>
      <c r="DH20" s="25">
        <f t="shared" si="6"/>
        <v>21.049708038606269</v>
      </c>
      <c r="DI20">
        <v>22.808398992208165</v>
      </c>
      <c r="DJ20" s="27">
        <f t="shared" si="7"/>
        <v>22.808398992208165</v>
      </c>
    </row>
    <row r="21" spans="2:114" x14ac:dyDescent="0.25">
      <c r="AI21" s="15">
        <f>AH22/$C$14</f>
        <v>113488.85469158678</v>
      </c>
      <c r="AJ21" s="16">
        <f>MAX((AK20*$C$15+AK22*(1-$C$15))*EXP(-$C$9*$C$13),$C$8-AJ20)</f>
        <v>0</v>
      </c>
      <c r="AK21" s="15">
        <f>AJ22/$C$14</f>
        <v>113488.85469158678</v>
      </c>
      <c r="AL21" s="16">
        <f>MAX((AM20*$C$15+AM22*(1-$C$15))*EXP(-$C$9*$C$13),$C$8-AL20)</f>
        <v>0</v>
      </c>
      <c r="AM21" s="15">
        <f>AL22/$C$14</f>
        <v>113488.85469158678</v>
      </c>
      <c r="AN21" s="16">
        <f>MAX((AO20*$C$15+AO22*(1-$C$15))*EXP(-$C$9*$C$13),$C$8-AN20)</f>
        <v>0</v>
      </c>
      <c r="AO21" s="15">
        <f>AN22/$C$14</f>
        <v>113488.85469158678</v>
      </c>
      <c r="AP21" s="16">
        <f>MAX((AQ20*$C$15+AQ22*(1-$C$15))*EXP(-$C$9*$C$13),$C$8-AP20)</f>
        <v>0</v>
      </c>
      <c r="AQ21" s="15">
        <f>AP22/$C$14</f>
        <v>113488.85469158678</v>
      </c>
      <c r="AR21" s="16">
        <f>MAX((AS20*$C$15+AS22*(1-$C$15))*EXP(-$C$9*$C$13),$C$8-AR20)</f>
        <v>0</v>
      </c>
      <c r="AS21" s="15">
        <f>AR22/$C$14</f>
        <v>113488.85469158678</v>
      </c>
      <c r="AT21" s="16">
        <f>MAX((AU20*$C$15+AU22*(1-$C$15))*EXP(-$C$9*$C$13),$C$8-AT20)</f>
        <v>0</v>
      </c>
      <c r="AU21" s="15">
        <f>AT22/$C$14</f>
        <v>113488.85469158678</v>
      </c>
      <c r="AV21" s="16">
        <f>MAX((AW20*$C$15+AW22*(1-$C$15))*EXP(-$C$9*$C$13),$C$8-AV20)</f>
        <v>0</v>
      </c>
      <c r="AW21" s="15">
        <f>AV22/$C$14</f>
        <v>113488.85469158678</v>
      </c>
      <c r="AX21" s="16">
        <f>MAX((AY20*$C$15+AY22*(1-$C$15))*EXP(-$C$9*$C$13),$C$8-AX20)</f>
        <v>0</v>
      </c>
      <c r="AY21" s="15">
        <f>AX22/$C$14</f>
        <v>113488.85469158678</v>
      </c>
      <c r="AZ21" s="16">
        <f>MAX((BA20*$C$15+BA22*(1-$C$15))*EXP(-$C$9*$C$13),$C$8-AZ20)</f>
        <v>0</v>
      </c>
      <c r="BA21" s="15">
        <f>AZ22/$C$14</f>
        <v>113488.85469158678</v>
      </c>
      <c r="BB21" s="16">
        <f>MAX(0,$C$8-BB20)</f>
        <v>0</v>
      </c>
      <c r="BD21" s="55">
        <f t="shared" si="8"/>
        <v>77979.200000000041</v>
      </c>
      <c r="BE21" s="48">
        <v>20.744977280383086</v>
      </c>
      <c r="BF21" s="48">
        <v>19.035612629245943</v>
      </c>
      <c r="BG21" s="48">
        <v>17.417018764206951</v>
      </c>
      <c r="BH21" s="48">
        <v>15.887978228252626</v>
      </c>
      <c r="BI21" s="48">
        <v>14.447125941218655</v>
      </c>
      <c r="BJ21" s="48">
        <v>13.092946329494568</v>
      </c>
      <c r="BK21" s="48">
        <v>11.823771060640993</v>
      </c>
      <c r="BL21" s="48">
        <v>10.637777484401145</v>
      </c>
      <c r="BM21" s="48">
        <v>9.5329878897329099</v>
      </c>
      <c r="BN21" s="48">
        <v>8.5072696952140721</v>
      </c>
      <c r="BO21" s="48">
        <v>7.5583366971359061</v>
      </c>
      <c r="BP21" s="48">
        <v>6.6837515053701173</v>
      </c>
      <c r="BQ21" s="48">
        <v>5.8809293011435937</v>
      </c>
      <c r="BR21" s="48">
        <v>5.1471430525492661</v>
      </c>
      <c r="BS21" s="48">
        <v>4.4795303222093521</v>
      </c>
      <c r="BT21" s="48">
        <v>3.8751017961171672</v>
      </c>
      <c r="BU21" s="48">
        <v>3.3307516523276348</v>
      </c>
      <c r="BV21" s="48">
        <v>2.8432698717518301</v>
      </c>
      <c r="BW21" s="48">
        <v>2.4093565696667585</v>
      </c>
      <c r="BX21" s="48">
        <v>2.0256383944775305</v>
      </c>
      <c r="BY21" s="48">
        <v>1.6886869986037802</v>
      </c>
      <c r="BZ21" s="48">
        <v>1.3950395340870176</v>
      </c>
      <c r="CA21" s="48">
        <v>1.1412210618937857</v>
      </c>
      <c r="CB21" s="48">
        <v>0.92376868864660089</v>
      </c>
      <c r="CC21" s="48">
        <v>0.73925715806485748</v>
      </c>
      <c r="CD21" s="48">
        <v>0.58432552809807325</v>
      </c>
      <c r="CE21" s="48">
        <v>0.45570446127570957</v>
      </c>
      <c r="CF21" s="48">
        <v>0.35024354911184552</v>
      </c>
      <c r="CG21" s="48">
        <v>0.26493798798575363</v>
      </c>
      <c r="CH21" s="48">
        <v>0.19695383110193965</v>
      </c>
      <c r="CI21" s="48">
        <v>0.14365096955605866</v>
      </c>
      <c r="CJ21" s="48">
        <v>0.10260295657974237</v>
      </c>
      <c r="CK21" s="48">
        <v>7.1612795702395718E-2</v>
      </c>
      <c r="CL21" s="48">
        <v>4.8723878565096961E-2</v>
      </c>
      <c r="CM21" s="48">
        <v>3.2225392334323255E-2</v>
      </c>
      <c r="CN21" s="48">
        <v>2.0651726744983754E-2</v>
      </c>
      <c r="CO21" s="48">
        <v>1.2775696372218717E-2</v>
      </c>
      <c r="CP21" s="48">
        <v>7.5957444771707228E-3</v>
      </c>
      <c r="CQ21" s="48">
        <v>4.3176880831680316E-3</v>
      </c>
      <c r="CR21" s="48">
        <v>2.3319639561074348E-3</v>
      </c>
      <c r="CS21" s="48">
        <v>1.1876942894084946E-3</v>
      </c>
      <c r="CT21" s="48">
        <v>5.651547300451836E-4</v>
      </c>
      <c r="CU21" s="48">
        <v>2.4834353249631765E-4</v>
      </c>
      <c r="CV21" s="48">
        <v>9.9280770822369595E-5</v>
      </c>
      <c r="CW21" s="48">
        <v>3.5399590683029301E-5</v>
      </c>
      <c r="CX21" s="48">
        <v>1.0953978789489863E-5</v>
      </c>
      <c r="CY21" s="48">
        <v>2.826288039193308E-6</v>
      </c>
      <c r="CZ21" s="48">
        <v>5.7051127564300136E-7</v>
      </c>
      <c r="DA21" s="48">
        <v>8.0150518395044969E-8</v>
      </c>
      <c r="DB21" s="48">
        <v>5.8795889527434198E-9</v>
      </c>
      <c r="DC21" s="49">
        <f t="shared" si="9"/>
        <v>0</v>
      </c>
      <c r="DD21" s="5">
        <f t="shared" si="10"/>
        <v>69</v>
      </c>
      <c r="DE21" s="30" cm="1">
        <f t="array" ref="DE21">1/2*(rf-q)*DD21*dt-1/2*(sigma^2)*(DD21^2)*dt</f>
        <v>-3.6065931842465746</v>
      </c>
      <c r="DF21" s="25">
        <f t="shared" si="4"/>
        <v>8.2318274643835601</v>
      </c>
      <c r="DG21" s="6">
        <f t="shared" si="5"/>
        <v>-3.6249679787671227</v>
      </c>
      <c r="DH21" s="25">
        <f t="shared" si="6"/>
        <v>24.440171372148185</v>
      </c>
      <c r="DI21">
        <v>26.42773010616639</v>
      </c>
      <c r="DJ21" s="27">
        <f t="shared" si="7"/>
        <v>26.42773010616639</v>
      </c>
    </row>
    <row r="22" spans="2:114" x14ac:dyDescent="0.25">
      <c r="AH22" s="15">
        <f>AG23/$C$14</f>
        <v>109150.90311488647</v>
      </c>
      <c r="AI22" s="16">
        <f>MAX((AJ21*$C$15+AJ23*(1-$C$15))*EXP(-$C$9*$C$13),$C$8-AI21)</f>
        <v>0</v>
      </c>
      <c r="AJ22" s="15">
        <f>AI23/$C$14</f>
        <v>109150.90311488647</v>
      </c>
      <c r="AK22" s="16">
        <f>MAX((AL21*$C$15+AL23*(1-$C$15))*EXP(-$C$9*$C$13),$C$8-AK21)</f>
        <v>0</v>
      </c>
      <c r="AL22" s="15">
        <f>AK23/$C$14</f>
        <v>109150.90311488647</v>
      </c>
      <c r="AM22" s="16">
        <f>MAX((AN21*$C$15+AN23*(1-$C$15))*EXP(-$C$9*$C$13),$C$8-AM21)</f>
        <v>0</v>
      </c>
      <c r="AN22" s="15">
        <f>AM23/$C$14</f>
        <v>109150.90311488647</v>
      </c>
      <c r="AO22" s="16">
        <f>MAX((AP21*$C$15+AP23*(1-$C$15))*EXP(-$C$9*$C$13),$C$8-AO21)</f>
        <v>0</v>
      </c>
      <c r="AP22" s="15">
        <f>AO23/$C$14</f>
        <v>109150.90311488647</v>
      </c>
      <c r="AQ22" s="16">
        <f>MAX((AR21*$C$15+AR23*(1-$C$15))*EXP(-$C$9*$C$13),$C$8-AQ21)</f>
        <v>0</v>
      </c>
      <c r="AR22" s="15">
        <f>AQ23/$C$14</f>
        <v>109150.90311488647</v>
      </c>
      <c r="AS22" s="16">
        <f>MAX((AT21*$C$15+AT23*(1-$C$15))*EXP(-$C$9*$C$13),$C$8-AS21)</f>
        <v>0</v>
      </c>
      <c r="AT22" s="15">
        <f>AS23/$C$14</f>
        <v>109150.90311488647</v>
      </c>
      <c r="AU22" s="16">
        <f>MAX((AV21*$C$15+AV23*(1-$C$15))*EXP(-$C$9*$C$13),$C$8-AU21)</f>
        <v>0</v>
      </c>
      <c r="AV22" s="15">
        <f>AU23/$C$14</f>
        <v>109150.90311488647</v>
      </c>
      <c r="AW22" s="16">
        <f>MAX((AX21*$C$15+AX23*(1-$C$15))*EXP(-$C$9*$C$13),$C$8-AW21)</f>
        <v>0</v>
      </c>
      <c r="AX22" s="15">
        <f>AW23/$C$14</f>
        <v>109150.90311488647</v>
      </c>
      <c r="AY22" s="16">
        <f>MAX((AZ21*$C$15+AZ23*(1-$C$15))*EXP(-$C$9*$C$13),$C$8-AY21)</f>
        <v>0</v>
      </c>
      <c r="AZ22" s="15">
        <f>AY23/$C$14</f>
        <v>109150.90311488647</v>
      </c>
      <c r="BA22" s="16">
        <f>MAX((BB21*$C$15+BB23*(1-$C$15))*EXP(-$C$9*$C$13),$C$8-BA21)</f>
        <v>0</v>
      </c>
      <c r="BB22" s="15">
        <f>BA23/$C$14</f>
        <v>109150.90311488647</v>
      </c>
      <c r="BD22" s="55">
        <f t="shared" si="8"/>
        <v>76849.066666666709</v>
      </c>
      <c r="BE22" s="48">
        <v>24.190478952861717</v>
      </c>
      <c r="BF22" s="48">
        <v>22.248379307274458</v>
      </c>
      <c r="BG22" s="48">
        <v>20.405159741655972</v>
      </c>
      <c r="BH22" s="48">
        <v>18.659744868645983</v>
      </c>
      <c r="BI22" s="48">
        <v>17.010901098954339</v>
      </c>
      <c r="BJ22" s="48">
        <v>15.457232244979364</v>
      </c>
      <c r="BK22" s="48">
        <v>13.997175642618235</v>
      </c>
      <c r="BL22" s="48">
        <v>12.62899889965802</v>
      </c>
      <c r="BM22" s="48">
        <v>11.350797390195897</v>
      </c>
      <c r="BN22" s="48">
        <v>10.16049262566165</v>
      </c>
      <c r="BO22" s="48">
        <v>9.0558316438909738</v>
      </c>
      <c r="BP22" s="48">
        <v>8.0343875679147043</v>
      </c>
      <c r="BQ22" s="48">
        <v>7.0935614951614099</v>
      </c>
      <c r="BR22" s="48">
        <v>6.2305858849641202</v>
      </c>
      <c r="BS22" s="48">
        <v>5.4425296168085939</v>
      </c>
      <c r="BT22" s="48">
        <v>4.7263048926925837</v>
      </c>
      <c r="BU22" s="48">
        <v>4.0786761531393552</v>
      </c>
      <c r="BV22" s="48">
        <v>3.4962711665063511</v>
      </c>
      <c r="BW22" s="48">
        <v>2.975594433771271</v>
      </c>
      <c r="BX22" s="48">
        <v>2.5130430243501074</v>
      </c>
      <c r="BY22" s="48">
        <v>2.1049249210179801</v>
      </c>
      <c r="BZ22" s="48">
        <v>1.7474799019948379</v>
      </c>
      <c r="CA22" s="48">
        <v>1.4369029242099791</v>
      </c>
      <c r="CB22" s="48">
        <v>1.1693698925034104</v>
      </c>
      <c r="CC22" s="48">
        <v>0.94106560449060139</v>
      </c>
      <c r="CD22" s="48">
        <v>0.74821355033420733</v>
      </c>
      <c r="CE22" s="48">
        <v>0.5871071225484249</v>
      </c>
      <c r="CF22" s="48">
        <v>0.45414165609236884</v>
      </c>
      <c r="CG22" s="48">
        <v>0.34584657996903784</v>
      </c>
      <c r="CH22" s="48">
        <v>0.25891682520389803</v>
      </c>
      <c r="CI22" s="48">
        <v>0.19024251263274491</v>
      </c>
      <c r="CJ22" s="48">
        <v>0.13693585061385113</v>
      </c>
      <c r="CK22" s="48">
        <v>9.6354124253009321E-2</v>
      </c>
      <c r="CL22" s="48">
        <v>6.6117671785600296E-2</v>
      </c>
      <c r="CM22" s="48">
        <v>4.4121837910082291E-2</v>
      </c>
      <c r="CN22" s="48">
        <v>2.8542082579311619E-2</v>
      </c>
      <c r="CO22" s="48">
        <v>1.7831714881825878E-2</v>
      </c>
      <c r="CP22" s="48">
        <v>1.0712112245606519E-2</v>
      </c>
      <c r="CQ22" s="48">
        <v>6.1557573873699872E-3</v>
      </c>
      <c r="CR22" s="48">
        <v>3.3629433005828773E-3</v>
      </c>
      <c r="CS22" s="48">
        <v>1.7335056297817146E-3</v>
      </c>
      <c r="CT22" s="48">
        <v>8.3537252307200782E-4</v>
      </c>
      <c r="CU22" s="48">
        <v>3.7199903748611071E-4</v>
      </c>
      <c r="CV22" s="48">
        <v>1.5080971513750812E-4</v>
      </c>
      <c r="CW22" s="48">
        <v>5.4569818667561007E-5</v>
      </c>
      <c r="CX22" s="48">
        <v>1.7149348188241021E-5</v>
      </c>
      <c r="CY22" s="48">
        <v>4.4974080412066135E-6</v>
      </c>
      <c r="CZ22" s="48">
        <v>9.2352297965744035E-7</v>
      </c>
      <c r="DA22" s="48">
        <v>1.3210425632279322E-7</v>
      </c>
      <c r="DB22" s="48">
        <v>9.8758160516765746E-9</v>
      </c>
      <c r="DC22" s="49">
        <f t="shared" si="9"/>
        <v>0</v>
      </c>
      <c r="DD22" s="5">
        <f t="shared" si="10"/>
        <v>68</v>
      </c>
      <c r="DE22" s="30" cm="1">
        <f t="array" ref="DE22">1/2*(rf-q)*DD22*dt-1/2*(sigma^2)*(DD22^2)*dt</f>
        <v>-3.502680558904109</v>
      </c>
      <c r="DF22" s="25">
        <f t="shared" si="4"/>
        <v>8.0237359123287639</v>
      </c>
      <c r="DG22" s="6">
        <f t="shared" si="5"/>
        <v>-3.5207890520547935</v>
      </c>
      <c r="DH22" s="25">
        <f t="shared" si="6"/>
        <v>28.374858258638582</v>
      </c>
      <c r="DI22">
        <v>30.618542625144574</v>
      </c>
      <c r="DJ22" s="27">
        <f t="shared" si="7"/>
        <v>30.618542625144574</v>
      </c>
    </row>
    <row r="23" spans="2:114" x14ac:dyDescent="0.25">
      <c r="T23" s="2"/>
      <c r="AG23" s="15">
        <f>AF24/$C$14</f>
        <v>104978.76362548704</v>
      </c>
      <c r="AH23" s="16">
        <f>MAX((AI22*$C$15+AI24*(1-$C$15))*EXP(-$C$9*$C$13),$C$8-AH22)</f>
        <v>0</v>
      </c>
      <c r="AI23" s="15">
        <f>AH24/$C$14</f>
        <v>104978.76362548704</v>
      </c>
      <c r="AJ23" s="16">
        <f>MAX((AK22*$C$15+AK24*(1-$C$15))*EXP(-$C$9*$C$13),$C$8-AJ22)</f>
        <v>0</v>
      </c>
      <c r="AK23" s="15">
        <f>AJ24/$C$14</f>
        <v>104978.76362548704</v>
      </c>
      <c r="AL23" s="16">
        <f>MAX((AM22*$C$15+AM24*(1-$C$15))*EXP(-$C$9*$C$13),$C$8-AL22)</f>
        <v>0</v>
      </c>
      <c r="AM23" s="15">
        <f>AL24/$C$14</f>
        <v>104978.76362548704</v>
      </c>
      <c r="AN23" s="16">
        <f>MAX((AO22*$C$15+AO24*(1-$C$15))*EXP(-$C$9*$C$13),$C$8-AN22)</f>
        <v>0</v>
      </c>
      <c r="AO23" s="15">
        <f>AN24/$C$14</f>
        <v>104978.76362548704</v>
      </c>
      <c r="AP23" s="16">
        <f>MAX((AQ22*$C$15+AQ24*(1-$C$15))*EXP(-$C$9*$C$13),$C$8-AP22)</f>
        <v>0</v>
      </c>
      <c r="AQ23" s="15">
        <f>AP24/$C$14</f>
        <v>104978.76362548704</v>
      </c>
      <c r="AR23" s="16">
        <f>MAX((AS22*$C$15+AS24*(1-$C$15))*EXP(-$C$9*$C$13),$C$8-AR22)</f>
        <v>0</v>
      </c>
      <c r="AS23" s="15">
        <f>AR24/$C$14</f>
        <v>104978.76362548704</v>
      </c>
      <c r="AT23" s="16">
        <f>MAX((AU22*$C$15+AU24*(1-$C$15))*EXP(-$C$9*$C$13),$C$8-AT22)</f>
        <v>0</v>
      </c>
      <c r="AU23" s="15">
        <f>AT24/$C$14</f>
        <v>104978.76362548704</v>
      </c>
      <c r="AV23" s="16">
        <f>MAX((AW22*$C$15+AW24*(1-$C$15))*EXP(-$C$9*$C$13),$C$8-AV22)</f>
        <v>0</v>
      </c>
      <c r="AW23" s="15">
        <f>AV24/$C$14</f>
        <v>104978.76362548704</v>
      </c>
      <c r="AX23" s="16">
        <f>MAX((AY22*$C$15+AY24*(1-$C$15))*EXP(-$C$9*$C$13),$C$8-AX22)</f>
        <v>0</v>
      </c>
      <c r="AY23" s="15">
        <f>AX24/$C$14</f>
        <v>104978.76362548704</v>
      </c>
      <c r="AZ23" s="16">
        <f>MAX((BA22*$C$15+BA24*(1-$C$15))*EXP(-$C$9*$C$13),$C$8-AZ22)</f>
        <v>0</v>
      </c>
      <c r="BA23" s="15">
        <f>AZ24/$C$14</f>
        <v>104978.76362548704</v>
      </c>
      <c r="BB23" s="16">
        <f>MAX(0,$C$8-BB22)</f>
        <v>0</v>
      </c>
      <c r="BD23" s="55">
        <f t="shared" si="8"/>
        <v>75718.933333333378</v>
      </c>
      <c r="BE23" s="48">
        <v>28.210093626205399</v>
      </c>
      <c r="BF23" s="48">
        <v>26.005678285879938</v>
      </c>
      <c r="BG23" s="48">
        <v>23.908608779634182</v>
      </c>
      <c r="BH23" s="48">
        <v>21.917997608446775</v>
      </c>
      <c r="BI23" s="48">
        <v>20.032789681016428</v>
      </c>
      <c r="BJ23" s="48">
        <v>18.251756235128212</v>
      </c>
      <c r="BK23" s="48">
        <v>16.573489159138163</v>
      </c>
      <c r="BL23" s="48">
        <v>14.996395825757935</v>
      </c>
      <c r="BM23" s="48">
        <v>13.518694564293979</v>
      </c>
      <c r="BN23" s="48">
        <v>12.138410912108386</v>
      </c>
      <c r="BO23" s="48">
        <v>10.85337480106589</v>
      </c>
      <c r="BP23" s="48">
        <v>9.6612188497560467</v>
      </c>
      <c r="BQ23" s="48">
        <v>8.5593779468479969</v>
      </c>
      <c r="BR23" s="48">
        <v>7.5450903244104524</v>
      </c>
      <c r="BS23" s="48">
        <v>6.6154003315996279</v>
      </c>
      <c r="BT23" s="48">
        <v>5.767163127762573</v>
      </c>
      <c r="BU23" s="48">
        <v>4.9970515184750202</v>
      </c>
      <c r="BV23" s="48">
        <v>4.3015651568336795</v>
      </c>
      <c r="BW23" s="48">
        <v>3.6770423236976519</v>
      </c>
      <c r="BX23" s="48">
        <v>3.1196744825180551</v>
      </c>
      <c r="BY23" s="48">
        <v>2.6255237746872888</v>
      </c>
      <c r="BZ23" s="48">
        <v>2.1905435776131283</v>
      </c>
      <c r="CA23" s="48">
        <v>1.8106021875831013</v>
      </c>
      <c r="CB23" s="48">
        <v>1.4815096106927732</v>
      </c>
      <c r="CC23" s="48">
        <v>1.1990473458477593</v>
      </c>
      <c r="CD23" s="48">
        <v>0.95900092307957863</v>
      </c>
      <c r="CE23" s="48">
        <v>0.75719481827859525</v>
      </c>
      <c r="CF23" s="48">
        <v>0.58952920409046983</v>
      </c>
      <c r="CG23" s="48">
        <v>0.45201782020549264</v>
      </c>
      <c r="CH23" s="48">
        <v>0.34082606270191568</v>
      </c>
      <c r="CI23" s="48">
        <v>0.2523082120373189</v>
      </c>
      <c r="CJ23" s="48">
        <v>0.18304255869813785</v>
      </c>
      <c r="CK23" s="48">
        <v>0.12986306360929556</v>
      </c>
      <c r="CL23" s="48">
        <v>8.9886130393868419E-2</v>
      </c>
      <c r="CM23" s="48">
        <v>6.0531093463740103E-2</v>
      </c>
      <c r="CN23" s="48">
        <v>3.9533163929667221E-2</v>
      </c>
      <c r="CO23" s="48">
        <v>2.494784365191546E-2</v>
      </c>
      <c r="CP23" s="48">
        <v>1.5146225149769696E-2</v>
      </c>
      <c r="CQ23" s="48">
        <v>8.8011335604022412E-3</v>
      </c>
      <c r="CR23" s="48">
        <v>4.8647057260658415E-3</v>
      </c>
      <c r="CS23" s="48">
        <v>2.5386836417568958E-3</v>
      </c>
      <c r="CT23" s="48">
        <v>1.2393419418326808E-3</v>
      </c>
      <c r="CU23" s="48">
        <v>5.5947070641035053E-4</v>
      </c>
      <c r="CV23" s="48">
        <v>2.3009260472187641E-4</v>
      </c>
      <c r="CW23" s="48">
        <v>8.4526694618103647E-5</v>
      </c>
      <c r="CX23" s="48">
        <v>2.6990134666294E-5</v>
      </c>
      <c r="CY23" s="48">
        <v>7.197848250388691E-6</v>
      </c>
      <c r="CZ23" s="48">
        <v>1.5043867075575839E-6</v>
      </c>
      <c r="DA23" s="48">
        <v>2.1924250708276E-7</v>
      </c>
      <c r="DB23" s="48">
        <v>1.6723144385232742E-8</v>
      </c>
      <c r="DC23" s="49">
        <f t="shared" si="9"/>
        <v>0</v>
      </c>
      <c r="DD23" s="5">
        <f t="shared" si="10"/>
        <v>67</v>
      </c>
      <c r="DE23" s="30" cm="1">
        <f t="array" ref="DE23">1/2*(rf-q)*DD23*dt-1/2*(sigma^2)*(DD23^2)*dt</f>
        <v>-3.4002868499999996</v>
      </c>
      <c r="DF23" s="25">
        <f t="shared" si="4"/>
        <v>7.8186821931506847</v>
      </c>
      <c r="DG23" s="6">
        <f t="shared" si="5"/>
        <v>-3.4181290417808214</v>
      </c>
      <c r="DH23" s="25">
        <f t="shared" si="6"/>
        <v>32.943712336529572</v>
      </c>
      <c r="DI23">
        <v>35.473911156868105</v>
      </c>
      <c r="DJ23" s="27">
        <f t="shared" si="7"/>
        <v>35.473911156868105</v>
      </c>
    </row>
    <row r="24" spans="2:114" x14ac:dyDescent="0.25">
      <c r="AF24" s="15">
        <f>AE25/$C$14</f>
        <v>100966.09828996324</v>
      </c>
      <c r="AG24" s="16">
        <f>MAX((AH23*$C$15+AH25*(1-$C$15))*EXP(-$C$9*$C$13),$C$8-AG23)</f>
        <v>0</v>
      </c>
      <c r="AH24" s="15">
        <f>AG25/$C$14</f>
        <v>100966.09828996324</v>
      </c>
      <c r="AI24" s="16">
        <f>MAX((AJ23*$C$15+AJ25*(1-$C$15))*EXP(-$C$9*$C$13),$C$8-AI23)</f>
        <v>0</v>
      </c>
      <c r="AJ24" s="15">
        <f>AI25/$C$14</f>
        <v>100966.09828996324</v>
      </c>
      <c r="AK24" s="16">
        <f>MAX((AL23*$C$15+AL25*(1-$C$15))*EXP(-$C$9*$C$13),$C$8-AK23)</f>
        <v>0</v>
      </c>
      <c r="AL24" s="15">
        <f>AK25/$C$14</f>
        <v>100966.09828996324</v>
      </c>
      <c r="AM24" s="16">
        <f>MAX((AN23*$C$15+AN25*(1-$C$15))*EXP(-$C$9*$C$13),$C$8-AM23)</f>
        <v>0</v>
      </c>
      <c r="AN24" s="15">
        <f>AM25/$C$14</f>
        <v>100966.09828996324</v>
      </c>
      <c r="AO24" s="16">
        <f>MAX((AP23*$C$15+AP25*(1-$C$15))*EXP(-$C$9*$C$13),$C$8-AO23)</f>
        <v>0</v>
      </c>
      <c r="AP24" s="15">
        <f>AO25/$C$14</f>
        <v>100966.09828996324</v>
      </c>
      <c r="AQ24" s="16">
        <f>MAX((AR23*$C$15+AR25*(1-$C$15))*EXP(-$C$9*$C$13),$C$8-AQ23)</f>
        <v>0</v>
      </c>
      <c r="AR24" s="15">
        <f>AQ25/$C$14</f>
        <v>100966.09828996324</v>
      </c>
      <c r="AS24" s="16">
        <f>MAX((AT23*$C$15+AT25*(1-$C$15))*EXP(-$C$9*$C$13),$C$8-AS23)</f>
        <v>0</v>
      </c>
      <c r="AT24" s="15">
        <f>AS25/$C$14</f>
        <v>100966.09828996324</v>
      </c>
      <c r="AU24" s="16">
        <f>MAX((AV23*$C$15+AV25*(1-$C$15))*EXP(-$C$9*$C$13),$C$8-AU23)</f>
        <v>0</v>
      </c>
      <c r="AV24" s="15">
        <f>AU25/$C$14</f>
        <v>100966.09828996324</v>
      </c>
      <c r="AW24" s="16">
        <f>MAX((AX23*$C$15+AX25*(1-$C$15))*EXP(-$C$9*$C$13),$C$8-AW23)</f>
        <v>0</v>
      </c>
      <c r="AX24" s="15">
        <f>AW25/$C$14</f>
        <v>100966.09828996324</v>
      </c>
      <c r="AY24" s="16">
        <f>MAX((AZ23*$C$15+AZ25*(1-$C$15))*EXP(-$C$9*$C$13),$C$8-AY23)</f>
        <v>0</v>
      </c>
      <c r="AZ24" s="15">
        <f>AY25/$C$14</f>
        <v>100966.09828996324</v>
      </c>
      <c r="BA24" s="16">
        <f>MAX((BB23*$C$15+BB25*(1-$C$15))*EXP(-$C$9*$C$13),$C$8-BA23)</f>
        <v>0</v>
      </c>
      <c r="BB24" s="15">
        <f>BA25/$C$14</f>
        <v>100966.09828996324</v>
      </c>
      <c r="BD24" s="55">
        <f t="shared" si="8"/>
        <v>74588.800000000047</v>
      </c>
      <c r="BE24" s="48">
        <v>32.901312362237903</v>
      </c>
      <c r="BF24" s="48">
        <v>30.40146260372385</v>
      </c>
      <c r="BG24" s="48">
        <v>28.017738269561718</v>
      </c>
      <c r="BH24" s="48">
        <v>25.749489953150455</v>
      </c>
      <c r="BI24" s="48">
        <v>23.595892990542605</v>
      </c>
      <c r="BJ24" s="48">
        <v>21.555939572583259</v>
      </c>
      <c r="BK24" s="48">
        <v>19.628431105513869</v>
      </c>
      <c r="BL24" s="48">
        <v>17.811970931934297</v>
      </c>
      <c r="BM24" s="48">
        <v>16.104957540732197</v>
      </c>
      <c r="BN24" s="48">
        <v>14.505578412593851</v>
      </c>
      <c r="BO24" s="48">
        <v>13.011804666846109</v>
      </c>
      <c r="BP24" s="48">
        <v>11.62138669537193</v>
      </c>
      <c r="BQ24" s="48">
        <v>10.331850989796965</v>
      </c>
      <c r="BR24" s="48">
        <v>9.1404983884978037</v>
      </c>
      <c r="BS24" s="48">
        <v>8.0444039894727783</v>
      </c>
      <c r="BT24" s="48">
        <v>7.0404189927426417</v>
      </c>
      <c r="BU24" s="48">
        <v>6.1251747504296663</v>
      </c>
      <c r="BV24" s="48">
        <v>5.2950893123966924</v>
      </c>
      <c r="BW24" s="48">
        <v>4.5463767583556347</v>
      </c>
      <c r="BX24" s="48">
        <v>3.8750596013411265</v>
      </c>
      <c r="BY24" s="48">
        <v>3.2769845296750444</v>
      </c>
      <c r="BZ24" s="48">
        <v>2.7478417219604654</v>
      </c>
      <c r="CA24" s="48">
        <v>2.2831879189134101</v>
      </c>
      <c r="CB24" s="48">
        <v>1.8784733635300783</v>
      </c>
      <c r="CC24" s="48">
        <v>1.5290726238918746</v>
      </c>
      <c r="CD24" s="48">
        <v>1.2303191880239774</v>
      </c>
      <c r="CE24" s="48">
        <v>0.97754356579959178</v>
      </c>
      <c r="CF24" s="48">
        <v>0.76611444895199654</v>
      </c>
      <c r="CG24" s="48">
        <v>0.59148226865392584</v>
      </c>
      <c r="CH24" s="48">
        <v>0.44922425756991374</v>
      </c>
      <c r="CI24" s="48">
        <v>0.33508987881764402</v>
      </c>
      <c r="CJ24" s="48">
        <v>0.24504524458216259</v>
      </c>
      <c r="CK24" s="48">
        <v>0.17531493325950567</v>
      </c>
      <c r="CL24" s="48">
        <v>0.12241945397403953</v>
      </c>
      <c r="CM24" s="48">
        <v>8.3206533916222097E-2</v>
      </c>
      <c r="CN24" s="48">
        <v>5.4874452667434612E-2</v>
      </c>
      <c r="CO24" s="48">
        <v>3.4985852221863838E-2</v>
      </c>
      <c r="CP24" s="48">
        <v>2.1470837181115119E-2</v>
      </c>
      <c r="CQ24" s="48">
        <v>1.2618755209336925E-2</v>
      </c>
      <c r="CR24" s="48">
        <v>7.0587957046570797E-3</v>
      </c>
      <c r="CS24" s="48">
        <v>3.7304125339260208E-3</v>
      </c>
      <c r="CT24" s="48">
        <v>1.8454734085218902E-3</v>
      </c>
      <c r="CU24" s="48">
        <v>8.4483763802220503E-4</v>
      </c>
      <c r="CV24" s="48">
        <v>3.5261941768903975E-4</v>
      </c>
      <c r="CW24" s="48">
        <v>1.3156846600132155E-4</v>
      </c>
      <c r="CX24" s="48">
        <v>4.2705435686247719E-5</v>
      </c>
      <c r="CY24" s="48">
        <v>1.1587422284765499E-5</v>
      </c>
      <c r="CZ24" s="48">
        <v>2.4663618481257394E-6</v>
      </c>
      <c r="DA24" s="48">
        <v>3.6640860723532517E-7</v>
      </c>
      <c r="DB24" s="48">
        <v>2.8519817350008931E-8</v>
      </c>
      <c r="DC24" s="49">
        <f t="shared" si="9"/>
        <v>0</v>
      </c>
      <c r="DD24" s="5">
        <f t="shared" si="10"/>
        <v>66</v>
      </c>
      <c r="DE24" s="30" cm="1">
        <f t="array" ref="DE24">1/2*(rf-q)*DD24*dt-1/2*(sigma^2)*(DD24^2)*dt</f>
        <v>-3.2994120575342456</v>
      </c>
      <c r="DF24" s="25">
        <f t="shared" si="4"/>
        <v>7.6166663068493135</v>
      </c>
      <c r="DG24" s="6">
        <f t="shared" si="5"/>
        <v>-3.3169879479452047</v>
      </c>
      <c r="DH24" s="25">
        <f t="shared" si="6"/>
        <v>38.251157799857197</v>
      </c>
      <c r="DI24">
        <v>41.101648639753385</v>
      </c>
      <c r="DJ24" s="27">
        <f t="shared" si="7"/>
        <v>41.101648639753385</v>
      </c>
    </row>
    <row r="25" spans="2:114" x14ac:dyDescent="0.25">
      <c r="AE25" s="35">
        <f>AD26/$C$14</f>
        <v>97106.811433465497</v>
      </c>
      <c r="AF25" s="16">
        <f>MAX((AG24*$C$15+AG26*(1-$C$15))*EXP(-$C$9*$C$13),$C$8-AF24)</f>
        <v>0</v>
      </c>
      <c r="AG25" s="15">
        <f>AF26/$C$14</f>
        <v>97106.811433465497</v>
      </c>
      <c r="AH25" s="16">
        <f>MAX((AI24*$C$15+AI26*(1-$C$15))*EXP(-$C$9*$C$13),$C$8-AH24)</f>
        <v>0</v>
      </c>
      <c r="AI25" s="15">
        <f>AH26/$C$14</f>
        <v>97106.811433465497</v>
      </c>
      <c r="AJ25" s="16">
        <f>MAX((AK24*$C$15+AK26*(1-$C$15))*EXP(-$C$9*$C$13),$C$8-AJ24)</f>
        <v>0</v>
      </c>
      <c r="AK25" s="15">
        <f>AJ26/$C$14</f>
        <v>97106.811433465497</v>
      </c>
      <c r="AL25" s="16">
        <f>MAX((AM24*$C$15+AM26*(1-$C$15))*EXP(-$C$9*$C$13),$C$8-AL24)</f>
        <v>0</v>
      </c>
      <c r="AM25" s="15">
        <f>AL26/$C$14</f>
        <v>97106.811433465497</v>
      </c>
      <c r="AN25" s="16">
        <f>MAX((AO24*$C$15+AO26*(1-$C$15))*EXP(-$C$9*$C$13),$C$8-AN24)</f>
        <v>0</v>
      </c>
      <c r="AO25" s="15">
        <f>AN26/$C$14</f>
        <v>97106.811433465497</v>
      </c>
      <c r="AP25" s="16">
        <f>MAX((AQ24*$C$15+AQ26*(1-$C$15))*EXP(-$C$9*$C$13),$C$8-AP24)</f>
        <v>0</v>
      </c>
      <c r="AQ25" s="15">
        <f>AP26/$C$14</f>
        <v>97106.811433465497</v>
      </c>
      <c r="AR25" s="16">
        <f>MAX((AS24*$C$15+AS26*(1-$C$15))*EXP(-$C$9*$C$13),$C$8-AR24)</f>
        <v>0</v>
      </c>
      <c r="AS25" s="15">
        <f>AR26/$C$14</f>
        <v>97106.811433465497</v>
      </c>
      <c r="AT25" s="16">
        <f>MAX((AU24*$C$15+AU26*(1-$C$15))*EXP(-$C$9*$C$13),$C$8-AT24)</f>
        <v>0</v>
      </c>
      <c r="AU25" s="15">
        <f>AT26/$C$14</f>
        <v>97106.811433465497</v>
      </c>
      <c r="AV25" s="16">
        <f>MAX((AW24*$C$15+AW26*(1-$C$15))*EXP(-$C$9*$C$13),$C$8-AV24)</f>
        <v>0</v>
      </c>
      <c r="AW25" s="15">
        <f>AV26/$C$14</f>
        <v>97106.811433465497</v>
      </c>
      <c r="AX25" s="16">
        <f>MAX((AY24*$C$15+AY26*(1-$C$15))*EXP(-$C$9*$C$13),$C$8-AX24)</f>
        <v>0</v>
      </c>
      <c r="AY25" s="15">
        <f>AX26/$C$14</f>
        <v>97106.811433465497</v>
      </c>
      <c r="AZ25" s="16">
        <f>MAX((BA24*$C$15+BA26*(1-$C$15))*EXP(-$C$9*$C$13),$C$8-AZ24)</f>
        <v>0</v>
      </c>
      <c r="BA25" s="15">
        <f>AZ26/$C$14</f>
        <v>97106.811433465497</v>
      </c>
      <c r="BB25" s="16">
        <f>MAX(0,$C$8-BB24)</f>
        <v>0</v>
      </c>
      <c r="BD25" s="55">
        <f t="shared" si="8"/>
        <v>73458.666666666715</v>
      </c>
      <c r="BE25" s="48">
        <v>38.377841851917552</v>
      </c>
      <c r="BF25" s="48">
        <v>35.545586342566025</v>
      </c>
      <c r="BG25" s="48">
        <v>32.838488814143709</v>
      </c>
      <c r="BH25" s="48">
        <v>30.256192286118353</v>
      </c>
      <c r="BI25" s="48">
        <v>27.79815919125453</v>
      </c>
      <c r="BJ25" s="48">
        <v>25.463661592945652</v>
      </c>
      <c r="BK25" s="48">
        <v>23.251771464655196</v>
      </c>
      <c r="BL25" s="48">
        <v>21.161351138015998</v>
      </c>
      <c r="BM25" s="48">
        <v>19.191044045215282</v>
      </c>
      <c r="BN25" s="48">
        <v>17.33926590237175</v>
      </c>
      <c r="BO25" s="48">
        <v>15.604196503645403</v>
      </c>
      <c r="BP25" s="48">
        <v>13.983772320671454</v>
      </c>
      <c r="BQ25" s="48">
        <v>12.475680128315103</v>
      </c>
      <c r="BR25" s="48">
        <v>11.077351905273996</v>
      </c>
      <c r="BS25" s="48">
        <v>9.7859612860751266</v>
      </c>
      <c r="BT25" s="48">
        <v>8.5984218686234044</v>
      </c>
      <c r="BU25" s="48">
        <v>7.5113877074428981</v>
      </c>
      <c r="BV25" s="48">
        <v>6.5212563455093306</v>
      </c>
      <c r="BW25" s="48">
        <v>5.6241747550552059</v>
      </c>
      <c r="BX25" s="48">
        <v>4.8160485673840956</v>
      </c>
      <c r="BY25" s="48">
        <v>4.0925549704516468</v>
      </c>
      <c r="BZ25" s="48">
        <v>3.4491596370779596</v>
      </c>
      <c r="CA25" s="48">
        <v>2.8811380119220957</v>
      </c>
      <c r="CB25" s="48">
        <v>2.3836012270911344</v>
      </c>
      <c r="CC25" s="48">
        <v>1.9515268295247328</v>
      </c>
      <c r="CD25" s="48">
        <v>1.5797943832044237</v>
      </c>
      <c r="CE25" s="48">
        <v>1.263225851464751</v>
      </c>
      <c r="CF25" s="48">
        <v>0.99663046616432871</v>
      </c>
      <c r="CG25" s="48">
        <v>0.77485355049800864</v>
      </c>
      <c r="CH25" s="48">
        <v>0.59282848326547111</v>
      </c>
      <c r="CI25" s="48">
        <v>0.44563068239709802</v>
      </c>
      <c r="CJ25" s="48">
        <v>0.32853215808382052</v>
      </c>
      <c r="CK25" s="48">
        <v>0.23705486334725642</v>
      </c>
      <c r="CL25" s="48">
        <v>0.16702078300212175</v>
      </c>
      <c r="CM25" s="48">
        <v>0.11459649072705723</v>
      </c>
      <c r="CN25" s="48">
        <v>7.63298156931356E-2</v>
      </c>
      <c r="CO25" s="48">
        <v>4.9176345704258016E-2</v>
      </c>
      <c r="CP25" s="48">
        <v>3.0513800314368521E-2</v>
      </c>
      <c r="CQ25" s="48">
        <v>1.8142868174659963E-2</v>
      </c>
      <c r="CR25" s="48">
        <v>1.0273923975260885E-2</v>
      </c>
      <c r="CS25" s="48">
        <v>5.5000862937522555E-3</v>
      </c>
      <c r="CT25" s="48">
        <v>2.7582596774435395E-3</v>
      </c>
      <c r="CU25" s="48">
        <v>1.280976525410522E-3</v>
      </c>
      <c r="CV25" s="48">
        <v>5.4282447084603243E-4</v>
      </c>
      <c r="CW25" s="48">
        <v>2.0580444525787381E-4</v>
      </c>
      <c r="CX25" s="48">
        <v>6.793928877978737E-5</v>
      </c>
      <c r="CY25" s="48">
        <v>1.8765773789354851E-5</v>
      </c>
      <c r="CZ25" s="48">
        <v>4.070132170634729E-6</v>
      </c>
      <c r="DA25" s="48">
        <v>6.1680585583272278E-7</v>
      </c>
      <c r="DB25" s="48">
        <v>4.9034378340637597E-8</v>
      </c>
      <c r="DC25" s="49">
        <f t="shared" si="9"/>
        <v>0</v>
      </c>
      <c r="DD25" s="5">
        <f t="shared" si="10"/>
        <v>65</v>
      </c>
      <c r="DE25" s="30" cm="1">
        <f t="array" ref="DE25">1/2*(rf-q)*DD25*dt-1/2*(sigma^2)*(DD25^2)*dt</f>
        <v>-3.2000561815068487</v>
      </c>
      <c r="DF25" s="25">
        <f t="shared" si="4"/>
        <v>7.4176882534246564</v>
      </c>
      <c r="DG25" s="6">
        <f t="shared" si="5"/>
        <v>-3.2173657705479446</v>
      </c>
      <c r="DH25" s="25">
        <f t="shared" si="6"/>
        <v>44.418410232485485</v>
      </c>
      <c r="DI25">
        <v>47.626621360575506</v>
      </c>
      <c r="DJ25" s="27">
        <f t="shared" si="7"/>
        <v>47.626621360575506</v>
      </c>
    </row>
    <row r="26" spans="2:114" x14ac:dyDescent="0.25">
      <c r="AD26" s="15">
        <f>AC27/$C$14</f>
        <v>93395.04037972723</v>
      </c>
      <c r="AE26" s="36">
        <f>MAX((AF25*$C$15+AF27*(1-$C$15))*EXP(-$C$9*$C$13),$C$8-AE25)</f>
        <v>0</v>
      </c>
      <c r="AF26" s="15">
        <f>AE27/$C$14</f>
        <v>93395.04037972723</v>
      </c>
      <c r="AG26" s="16">
        <f>MAX((AH25*$C$15+AH27*(1-$C$15))*EXP(-$C$9*$C$13),$C$8-AG25)</f>
        <v>0</v>
      </c>
      <c r="AH26" s="15">
        <f>AG27/$C$14</f>
        <v>93395.04037972723</v>
      </c>
      <c r="AI26" s="16">
        <f>MAX((AJ25*$C$15+AJ27*(1-$C$15))*EXP(-$C$9*$C$13),$C$8-AI25)</f>
        <v>0</v>
      </c>
      <c r="AJ26" s="15">
        <f>AI27/$C$14</f>
        <v>93395.04037972723</v>
      </c>
      <c r="AK26" s="16">
        <f>MAX((AL25*$C$15+AL27*(1-$C$15))*EXP(-$C$9*$C$13),$C$8-AK25)</f>
        <v>0</v>
      </c>
      <c r="AL26" s="15">
        <f>AK27/$C$14</f>
        <v>93395.04037972723</v>
      </c>
      <c r="AM26" s="16">
        <f>MAX((AN25*$C$15+AN27*(1-$C$15))*EXP(-$C$9*$C$13),$C$8-AM25)</f>
        <v>0</v>
      </c>
      <c r="AN26" s="15">
        <f>AM27/$C$14</f>
        <v>93395.04037972723</v>
      </c>
      <c r="AO26" s="16">
        <f>MAX((AP25*$C$15+AP27*(1-$C$15))*EXP(-$C$9*$C$13),$C$8-AO25)</f>
        <v>0</v>
      </c>
      <c r="AP26" s="15">
        <f>AO27/$C$14</f>
        <v>93395.04037972723</v>
      </c>
      <c r="AQ26" s="16">
        <f>MAX((AR25*$C$15+AR27*(1-$C$15))*EXP(-$C$9*$C$13),$C$8-AQ25)</f>
        <v>0</v>
      </c>
      <c r="AR26" s="15">
        <f>AQ27/$C$14</f>
        <v>93395.04037972723</v>
      </c>
      <c r="AS26" s="16">
        <f>MAX((AT25*$C$15+AT27*(1-$C$15))*EXP(-$C$9*$C$13),$C$8-AS25)</f>
        <v>0</v>
      </c>
      <c r="AT26" s="15">
        <f>AS27/$C$14</f>
        <v>93395.04037972723</v>
      </c>
      <c r="AU26" s="16">
        <f>MAX((AV25*$C$15+AV27*(1-$C$15))*EXP(-$C$9*$C$13),$C$8-AU25)</f>
        <v>0</v>
      </c>
      <c r="AV26" s="15">
        <f>AU27/$C$14</f>
        <v>93395.04037972723</v>
      </c>
      <c r="AW26" s="16">
        <f>MAX((AX25*$C$15+AX27*(1-$C$15))*EXP(-$C$9*$C$13),$C$8-AW25)</f>
        <v>0</v>
      </c>
      <c r="AX26" s="15">
        <f>AW27/$C$14</f>
        <v>93395.04037972723</v>
      </c>
      <c r="AY26" s="16">
        <f>MAX((AZ25*$C$15+AZ27*(1-$C$15))*EXP(-$C$9*$C$13),$C$8-AY25)</f>
        <v>0</v>
      </c>
      <c r="AZ26" s="15">
        <f>AY27/$C$14</f>
        <v>93395.04037972723</v>
      </c>
      <c r="BA26" s="16">
        <f>MAX((BB25*$C$15+BB27*(1-$C$15))*EXP(-$C$9*$C$13),$C$8-BA25)</f>
        <v>0</v>
      </c>
      <c r="BB26" s="15">
        <f>BA27/$C$14</f>
        <v>93395.04037972723</v>
      </c>
      <c r="BD26" s="55">
        <f t="shared" si="8"/>
        <v>72328.533333333384</v>
      </c>
      <c r="BE26" s="48">
        <v>44.77225274411888</v>
      </c>
      <c r="BF26" s="48">
        <v>41.566446574614247</v>
      </c>
      <c r="BG26" s="48">
        <v>38.495001770903336</v>
      </c>
      <c r="BH26" s="48">
        <v>35.557911762946389</v>
      </c>
      <c r="BI26" s="48">
        <v>32.754987077818789</v>
      </c>
      <c r="BJ26" s="48">
        <v>30.085843631763172</v>
      </c>
      <c r="BK26" s="48">
        <v>27.549890863697943</v>
      </c>
      <c r="BL26" s="48">
        <v>25.146319805401507</v>
      </c>
      <c r="BM26" s="48">
        <v>22.874091204427675</v>
      </c>
      <c r="BN26" s="48">
        <v>20.731923839364896</v>
      </c>
      <c r="BO26" s="48">
        <v>18.71828319344073</v>
      </c>
      <c r="BP26" s="48">
        <v>16.831370681724831</v>
      </c>
      <c r="BQ26" s="48">
        <v>15.069113659221481</v>
      </c>
      <c r="BR26" s="48">
        <v>13.429156471738283</v>
      </c>
      <c r="BS26" s="48">
        <v>11.908852848144056</v>
      </c>
      <c r="BT26" s="48">
        <v>10.50525997078662</v>
      </c>
      <c r="BU26" s="48">
        <v>9.2151345994021732</v>
      </c>
      <c r="BV26" s="48">
        <v>8.0349316613488018</v>
      </c>
      <c r="BW26" s="48">
        <v>6.9608057554610561</v>
      </c>
      <c r="BX26" s="48">
        <v>5.9886160456493265</v>
      </c>
      <c r="BY26" s="48">
        <v>5.1139350402347343</v>
      </c>
      <c r="BZ26" s="48">
        <v>4.3320617597888651</v>
      </c>
      <c r="CA26" s="48">
        <v>3.6380397849451089</v>
      </c>
      <c r="CB26" s="48">
        <v>3.0266806404107198</v>
      </c>
      <c r="CC26" s="48">
        <v>2.4925929056158163</v>
      </c>
      <c r="CD26" s="48">
        <v>2.0302173389346683</v>
      </c>
      <c r="CE26" s="48">
        <v>1.6338681539528341</v>
      </c>
      <c r="CF26" s="48">
        <v>1.2977803861624055</v>
      </c>
      <c r="CG26" s="48">
        <v>1.0161630317962256</v>
      </c>
      <c r="CH26" s="48">
        <v>0.78325732500567535</v>
      </c>
      <c r="CI26" s="48">
        <v>0.59339914870590915</v>
      </c>
      <c r="CJ26" s="48">
        <v>0.44108415737499695</v>
      </c>
      <c r="CK26" s="48">
        <v>0.32103374711086502</v>
      </c>
      <c r="CL26" s="48">
        <v>0.22825957018036672</v>
      </c>
      <c r="CM26" s="48">
        <v>0.15812390302905283</v>
      </c>
      <c r="CN26" s="48">
        <v>0.10639289641538847</v>
      </c>
      <c r="CO26" s="48">
        <v>6.9279633099893378E-2</v>
      </c>
      <c r="CP26" s="48">
        <v>4.3474065911867373E-2</v>
      </c>
      <c r="CQ26" s="48">
        <v>2.6157373597717914E-2</v>
      </c>
      <c r="CR26" s="48">
        <v>1.4999096413839196E-2</v>
      </c>
      <c r="CS26" s="48">
        <v>8.1365959615956381E-3</v>
      </c>
      <c r="CT26" s="48">
        <v>4.1378557566597593E-3</v>
      </c>
      <c r="CU26" s="48">
        <v>1.9502496162060639E-3</v>
      </c>
      <c r="CV26" s="48">
        <v>8.3942044839371084E-4</v>
      </c>
      <c r="CW26" s="48">
        <v>3.2354120460759432E-4</v>
      </c>
      <c r="CX26" s="48">
        <v>1.0868173784445407E-4</v>
      </c>
      <c r="CY26" s="48">
        <v>3.0576817941990119E-5</v>
      </c>
      <c r="CZ26" s="48">
        <v>6.76205659581613E-6</v>
      </c>
      <c r="DA26" s="48">
        <v>1.0460291736261361E-6</v>
      </c>
      <c r="DB26" s="48">
        <v>8.4981792079282627E-8</v>
      </c>
      <c r="DC26" s="49">
        <f t="shared" si="9"/>
        <v>0</v>
      </c>
      <c r="DD26" s="5">
        <f t="shared" si="10"/>
        <v>64</v>
      </c>
      <c r="DE26" s="30" cm="1">
        <f t="array" ref="DE26">1/2*(rf-q)*DD26*dt-1/2*(sigma^2)*(DD26^2)*dt</f>
        <v>-3.1022192219178075</v>
      </c>
      <c r="DF26" s="25">
        <f t="shared" si="4"/>
        <v>7.221748032876711</v>
      </c>
      <c r="DG26" s="6">
        <f t="shared" si="5"/>
        <v>-3.1192625095890403</v>
      </c>
      <c r="DH26" s="25">
        <f t="shared" si="6"/>
        <v>51.586129484414499</v>
      </c>
      <c r="DI26">
        <v>55.193400402851729</v>
      </c>
      <c r="DJ26" s="27">
        <f t="shared" si="7"/>
        <v>55.193400402851729</v>
      </c>
    </row>
    <row r="27" spans="2:114" x14ac:dyDescent="0.25">
      <c r="AC27" s="15">
        <f>AB28/$C$14</f>
        <v>89825.146545022246</v>
      </c>
      <c r="AD27" s="16">
        <f>MAX((AE26*$C$15+AE28*(1-$C$15))*EXP(-$C$9*$C$13),$C$8-AD26)</f>
        <v>1.2682050726551468E-4</v>
      </c>
      <c r="AE27" s="15">
        <f>AD28/$C$14</f>
        <v>89825.146545022246</v>
      </c>
      <c r="AF27" s="16">
        <f>MAX((AG26*$C$15+AG28*(1-$C$15))*EXP(-$C$9*$C$13),$C$8-AF26)</f>
        <v>0</v>
      </c>
      <c r="AG27" s="15">
        <f>AF28/$C$14</f>
        <v>89825.146545022246</v>
      </c>
      <c r="AH27" s="16">
        <f>MAX((AI26*$C$15+AI28*(1-$C$15))*EXP(-$C$9*$C$13),$C$8-AH26)</f>
        <v>0</v>
      </c>
      <c r="AI27" s="15">
        <f>AH28/$C$14</f>
        <v>89825.146545022246</v>
      </c>
      <c r="AJ27" s="16">
        <f>MAX((AK26*$C$15+AK28*(1-$C$15))*EXP(-$C$9*$C$13),$C$8-AJ26)</f>
        <v>0</v>
      </c>
      <c r="AK27" s="15">
        <f>AJ28/$C$14</f>
        <v>89825.146545022246</v>
      </c>
      <c r="AL27" s="16">
        <f>MAX((AM26*$C$15+AM28*(1-$C$15))*EXP(-$C$9*$C$13),$C$8-AL26)</f>
        <v>0</v>
      </c>
      <c r="AM27" s="15">
        <f>AL28/$C$14</f>
        <v>89825.146545022246</v>
      </c>
      <c r="AN27" s="16">
        <f>MAX((AO26*$C$15+AO28*(1-$C$15))*EXP(-$C$9*$C$13),$C$8-AN26)</f>
        <v>0</v>
      </c>
      <c r="AO27" s="15">
        <f>AN28/$C$14</f>
        <v>89825.146545022246</v>
      </c>
      <c r="AP27" s="16">
        <f>MAX((AQ26*$C$15+AQ28*(1-$C$15))*EXP(-$C$9*$C$13),$C$8-AP26)</f>
        <v>0</v>
      </c>
      <c r="AQ27" s="15">
        <f>AP28/$C$14</f>
        <v>89825.146545022246</v>
      </c>
      <c r="AR27" s="16">
        <f>MAX((AS26*$C$15+AS28*(1-$C$15))*EXP(-$C$9*$C$13),$C$8-AR26)</f>
        <v>0</v>
      </c>
      <c r="AS27" s="15">
        <f>AR28/$C$14</f>
        <v>89825.146545022246</v>
      </c>
      <c r="AT27" s="16">
        <f>MAX((AU26*$C$15+AU28*(1-$C$15))*EXP(-$C$9*$C$13),$C$8-AT26)</f>
        <v>0</v>
      </c>
      <c r="AU27" s="15">
        <f>AT28/$C$14</f>
        <v>89825.146545022246</v>
      </c>
      <c r="AV27" s="16">
        <f>MAX((AW26*$C$15+AW28*(1-$C$15))*EXP(-$C$9*$C$13),$C$8-AV26)</f>
        <v>0</v>
      </c>
      <c r="AW27" s="15">
        <f>AV28/$C$14</f>
        <v>89825.146545022246</v>
      </c>
      <c r="AX27" s="16">
        <f>MAX((AY26*$C$15+AY28*(1-$C$15))*EXP(-$C$9*$C$13),$C$8-AX26)</f>
        <v>0</v>
      </c>
      <c r="AY27" s="15">
        <f>AX28/$C$14</f>
        <v>89825.146545022246</v>
      </c>
      <c r="AZ27" s="16">
        <f>MAX((BA26*$C$15+BA28*(1-$C$15))*EXP(-$C$9*$C$13),$C$8-AZ26)</f>
        <v>0</v>
      </c>
      <c r="BA27" s="15">
        <f>AZ28/$C$14</f>
        <v>89825.146545022246</v>
      </c>
      <c r="BB27" s="16">
        <f>MAX(0,$C$8-BB26)</f>
        <v>0</v>
      </c>
      <c r="BD27" s="55">
        <f t="shared" si="8"/>
        <v>71198.400000000052</v>
      </c>
      <c r="BE27" s="48">
        <v>52.239028491312531</v>
      </c>
      <c r="BF27" s="48">
        <v>48.614032847115581</v>
      </c>
      <c r="BG27" s="48">
        <v>45.132666167798128</v>
      </c>
      <c r="BH27" s="48">
        <v>41.795333177093035</v>
      </c>
      <c r="BI27" s="48">
        <v>38.602257125296482</v>
      </c>
      <c r="BJ27" s="48">
        <v>35.553466195564845</v>
      </c>
      <c r="BK27" s="48">
        <v>32.648779499094175</v>
      </c>
      <c r="BL27" s="48">
        <v>29.887792736303666</v>
      </c>
      <c r="BM27" s="48">
        <v>27.269863622868908</v>
      </c>
      <c r="BN27" s="48">
        <v>24.794097204590301</v>
      </c>
      <c r="BO27" s="48">
        <v>22.459331213923907</v>
      </c>
      <c r="BP27" s="48">
        <v>20.264121653782279</v>
      </c>
      <c r="BQ27" s="48">
        <v>18.206728831092953</v>
      </c>
      <c r="BR27" s="48">
        <v>16.285104103619041</v>
      </c>
      <c r="BS27" s="48">
        <v>14.496877648565972</v>
      </c>
      <c r="BT27" s="48">
        <v>12.839347610138764</v>
      </c>
      <c r="BU27" s="48">
        <v>11.309471034762645</v>
      </c>
      <c r="BV27" s="48">
        <v>9.9038570559893842</v>
      </c>
      <c r="BW27" s="48">
        <v>8.6187628444705755</v>
      </c>
      <c r="BX27" s="48">
        <v>7.4500928893729643</v>
      </c>
      <c r="BY27" s="48">
        <v>6.3934022229615968</v>
      </c>
      <c r="BZ27" s="48">
        <v>5.4439042354799003</v>
      </c>
      <c r="CA27" s="48">
        <v>4.5964837474278086</v>
      </c>
      <c r="CB27" s="48">
        <v>3.8457160040950229</v>
      </c>
      <c r="CC27" s="48">
        <v>3.1858922246169343</v>
      </c>
      <c r="CD27" s="48">
        <v>2.6110522654857395</v>
      </c>
      <c r="CE27" s="48">
        <v>2.1150248359793484</v>
      </c>
      <c r="CF27" s="48">
        <v>1.6914755195197138</v>
      </c>
      <c r="CG27" s="48">
        <v>1.3339626004580278</v>
      </c>
      <c r="CH27" s="48">
        <v>1.0360003613596132</v>
      </c>
      <c r="CI27" s="48">
        <v>0.79112909862686542</v>
      </c>
      <c r="CJ27" s="48">
        <v>0.59299060551324267</v>
      </c>
      <c r="CK27" s="48">
        <v>0.43540730584303583</v>
      </c>
      <c r="CL27" s="48">
        <v>0.31246261557438421</v>
      </c>
      <c r="CM27" s="48">
        <v>0.21857950824019778</v>
      </c>
      <c r="CN27" s="48">
        <v>0.14859372980081695</v>
      </c>
      <c r="CO27" s="48">
        <v>9.7817734635861825E-2</v>
      </c>
      <c r="CP27" s="48">
        <v>6.2091299568986541E-2</v>
      </c>
      <c r="CQ27" s="48">
        <v>3.7815024666292427E-2</v>
      </c>
      <c r="CR27" s="48">
        <v>2.1963642252030929E-2</v>
      </c>
      <c r="CS27" s="48">
        <v>1.2077282251039087E-2</v>
      </c>
      <c r="CT27" s="48">
        <v>6.2305609850709697E-3</v>
      </c>
      <c r="CU27" s="48">
        <v>2.9814426924885365E-3</v>
      </c>
      <c r="CV27" s="48">
        <v>1.3040115661580457E-3</v>
      </c>
      <c r="CW27" s="48">
        <v>5.1121249539061854E-4</v>
      </c>
      <c r="CX27" s="48">
        <v>1.7483446311430736E-4</v>
      </c>
      <c r="CY27" s="48">
        <v>5.0132061101624357E-5</v>
      </c>
      <c r="CZ27" s="48">
        <v>1.1311911424100683E-5</v>
      </c>
      <c r="DA27" s="48">
        <v>1.7874939056256817E-6</v>
      </c>
      <c r="DB27" s="48">
        <v>1.4852786304866397E-7</v>
      </c>
      <c r="DC27" s="49">
        <f t="shared" si="9"/>
        <v>0</v>
      </c>
      <c r="DD27" s="5">
        <f t="shared" si="10"/>
        <v>63</v>
      </c>
      <c r="DE27" s="30" cm="1">
        <f t="array" ref="DE27">1/2*(rf-q)*DD27*dt-1/2*(sigma^2)*(DD27^2)*dt</f>
        <v>-3.0059011787671226</v>
      </c>
      <c r="DF27" s="25">
        <f t="shared" si="4"/>
        <v>7.0288456452054779</v>
      </c>
      <c r="DG27" s="6">
        <f t="shared" si="5"/>
        <v>-3.0226781650684926</v>
      </c>
      <c r="DH27" s="25">
        <f t="shared" si="6"/>
        <v>59.917458644347192</v>
      </c>
      <c r="DI27">
        <v>63.969291864402827</v>
      </c>
      <c r="DJ27" s="27">
        <f t="shared" si="7"/>
        <v>63.969291864402827</v>
      </c>
    </row>
    <row r="28" spans="2:114" x14ac:dyDescent="0.25">
      <c r="AB28" s="15">
        <f>AA29/$C$14</f>
        <v>86391.706872543102</v>
      </c>
      <c r="AC28" s="16">
        <f>MAX((AD27*$C$15+AD29*(1-$C$15))*EXP(-$C$9*$C$13),$C$8-AC27)</f>
        <v>1.7504643832186148E-3</v>
      </c>
      <c r="AD28" s="15">
        <f>AC29/$C$14</f>
        <v>86391.706872543102</v>
      </c>
      <c r="AE28" s="16">
        <f>MAX((AF27*$C$15+AF29*(1-$C$15))*EXP(-$C$9*$C$13),$C$8-AE27)</f>
        <v>2.4885974218449993E-4</v>
      </c>
      <c r="AF28" s="15">
        <f>AE29/$C$14</f>
        <v>86391.706872543102</v>
      </c>
      <c r="AG28" s="16">
        <f>MAX((AH27*$C$15+AH29*(1-$C$15))*EXP(-$C$9*$C$13),$C$8-AG27)</f>
        <v>0</v>
      </c>
      <c r="AH28" s="15">
        <f>AG29/$C$14</f>
        <v>86391.706872543102</v>
      </c>
      <c r="AI28" s="16">
        <f>MAX((AJ27*$C$15+AJ29*(1-$C$15))*EXP(-$C$9*$C$13),$C$8-AI27)</f>
        <v>0</v>
      </c>
      <c r="AJ28" s="15">
        <f>AI29/$C$14</f>
        <v>86391.706872543102</v>
      </c>
      <c r="AK28" s="16">
        <f>MAX((AL27*$C$15+AL29*(1-$C$15))*EXP(-$C$9*$C$13),$C$8-AK27)</f>
        <v>0</v>
      </c>
      <c r="AL28" s="15">
        <f>AK29/$C$14</f>
        <v>86391.706872543102</v>
      </c>
      <c r="AM28" s="16">
        <f>MAX((AN27*$C$15+AN29*(1-$C$15))*EXP(-$C$9*$C$13),$C$8-AM27)</f>
        <v>0</v>
      </c>
      <c r="AN28" s="15">
        <f>AM29/$C$14</f>
        <v>86391.706872543102</v>
      </c>
      <c r="AO28" s="16">
        <f>MAX((AP27*$C$15+AP29*(1-$C$15))*EXP(-$C$9*$C$13),$C$8-AO27)</f>
        <v>0</v>
      </c>
      <c r="AP28" s="15">
        <f>AO29/$C$14</f>
        <v>86391.706872543102</v>
      </c>
      <c r="AQ28" s="16">
        <f>MAX((AR27*$C$15+AR29*(1-$C$15))*EXP(-$C$9*$C$13),$C$8-AQ27)</f>
        <v>0</v>
      </c>
      <c r="AR28" s="15">
        <f>AQ29/$C$14</f>
        <v>86391.706872543102</v>
      </c>
      <c r="AS28" s="16">
        <f>MAX((AT27*$C$15+AT29*(1-$C$15))*EXP(-$C$9*$C$13),$C$8-AS27)</f>
        <v>0</v>
      </c>
      <c r="AT28" s="15">
        <f>AS29/$C$14</f>
        <v>86391.706872543102</v>
      </c>
      <c r="AU28" s="16">
        <f>MAX((AV27*$C$15+AV29*(1-$C$15))*EXP(-$C$9*$C$13),$C$8-AU27)</f>
        <v>0</v>
      </c>
      <c r="AV28" s="15">
        <f>AU29/$C$14</f>
        <v>86391.706872543102</v>
      </c>
      <c r="AW28" s="16">
        <f>MAX((AX27*$C$15+AX29*(1-$C$15))*EXP(-$C$9*$C$13),$C$8-AW27)</f>
        <v>0</v>
      </c>
      <c r="AX28" s="15">
        <f>AW29/$C$14</f>
        <v>86391.706872543102</v>
      </c>
      <c r="AY28" s="16">
        <f>MAX((AZ27*$C$15+AZ29*(1-$C$15))*EXP(-$C$9*$C$13),$C$8-AY27)</f>
        <v>0</v>
      </c>
      <c r="AZ28" s="15">
        <f>AY29/$C$14</f>
        <v>86391.706872543102</v>
      </c>
      <c r="BA28" s="16">
        <f>MAX((BB27*$C$15+BB29*(1-$C$15))*EXP(-$C$9*$C$13),$C$8-BA27)</f>
        <v>0</v>
      </c>
      <c r="BB28" s="15">
        <f>BA29/$C$14</f>
        <v>86391.706872543102</v>
      </c>
      <c r="BD28" s="55">
        <f t="shared" si="8"/>
        <v>70068.266666666721</v>
      </c>
      <c r="BE28" s="48">
        <v>60.958066618287482</v>
      </c>
      <c r="BF28" s="48">
        <v>56.863438376606709</v>
      </c>
      <c r="BG28" s="48">
        <v>52.921636506044614</v>
      </c>
      <c r="BH28" s="48">
        <v>49.13353972792649</v>
      </c>
      <c r="BI28" s="48">
        <v>45.499851233828473</v>
      </c>
      <c r="BJ28" s="48">
        <v>42.021083331160312</v>
      </c>
      <c r="BK28" s="48">
        <v>38.697541397953628</v>
      </c>
      <c r="BL28" s="48">
        <v>35.529307198558499</v>
      </c>
      <c r="BM28" s="48">
        <v>32.51622163343324</v>
      </c>
      <c r="BN28" s="48">
        <v>29.657867021714591</v>
      </c>
      <c r="BO28" s="48">
        <v>26.953549045255865</v>
      </c>
      <c r="BP28" s="48">
        <v>24.402278517788659</v>
      </c>
      <c r="BQ28" s="48">
        <v>22.00275318323936</v>
      </c>
      <c r="BR28" s="48">
        <v>19.753339793378075</v>
      </c>
      <c r="BS28" s="48">
        <v>17.652056767137125</v>
      </c>
      <c r="BT28" s="48">
        <v>15.696557792151816</v>
      </c>
      <c r="BU28" s="48">
        <v>13.884116793106404</v>
      </c>
      <c r="BV28" s="48">
        <v>12.211614760661021</v>
      </c>
      <c r="BW28" s="48">
        <v>10.67552900788599</v>
      </c>
      <c r="BX28" s="48">
        <v>9.2719254962970954</v>
      </c>
      <c r="BY28" s="48">
        <v>7.9964549478744749</v>
      </c>
      <c r="BZ28" s="48">
        <v>6.844353528773202</v>
      </c>
      <c r="CA28" s="48">
        <v>5.810448949246469</v>
      </c>
      <c r="CB28" s="48">
        <v>4.889172865332065</v>
      </c>
      <c r="CC28" s="48">
        <v>4.0745804818707985</v>
      </c>
      <c r="CD28" s="48">
        <v>3.3603782321031397</v>
      </c>
      <c r="CE28" s="48">
        <v>2.7399603330203899</v>
      </c>
      <c r="CF28" s="48">
        <v>2.2064548726623889</v>
      </c>
      <c r="CG28" s="48">
        <v>1.7527798593754713</v>
      </c>
      <c r="CH28" s="48">
        <v>1.3717093379473555</v>
      </c>
      <c r="CI28" s="48">
        <v>1.0559492396697117</v>
      </c>
      <c r="CJ28" s="48">
        <v>0.79822207559565594</v>
      </c>
      <c r="CK28" s="48">
        <v>0.59135890592301821</v>
      </c>
      <c r="CL28" s="48">
        <v>0.42839624167047674</v>
      </c>
      <c r="CM28" s="48">
        <v>0.30267469610420311</v>
      </c>
      <c r="CN28" s="48">
        <v>0.20793536910687702</v>
      </c>
      <c r="CO28" s="48">
        <v>0.13840921560344541</v>
      </c>
      <c r="CP28" s="48">
        <v>8.8894148637597412E-2</v>
      </c>
      <c r="CQ28" s="48">
        <v>5.4814512323612466E-2</v>
      </c>
      <c r="CR28" s="48">
        <v>3.2257989199224749E-2</v>
      </c>
      <c r="CS28" s="48">
        <v>1.7986113862070968E-2</v>
      </c>
      <c r="CT28" s="48">
        <v>9.4164115401296523E-3</v>
      </c>
      <c r="CU28" s="48">
        <v>4.5767013648627605E-3</v>
      </c>
      <c r="CV28" s="48">
        <v>2.0350588185370118E-3</v>
      </c>
      <c r="CW28" s="48">
        <v>8.1188243343907672E-4</v>
      </c>
      <c r="CX28" s="48">
        <v>2.8285777428360963E-4</v>
      </c>
      <c r="CY28" s="48">
        <v>8.2715549405424065E-5</v>
      </c>
      <c r="CZ28" s="48">
        <v>1.9056748938897236E-5</v>
      </c>
      <c r="DA28" s="48">
        <v>3.078517979555028E-6</v>
      </c>
      <c r="DB28" s="48">
        <v>2.6186698917226843E-7</v>
      </c>
      <c r="DC28" s="49">
        <f t="shared" si="9"/>
        <v>0</v>
      </c>
      <c r="DD28" s="5">
        <f t="shared" si="10"/>
        <v>62</v>
      </c>
      <c r="DE28" s="30" cm="1">
        <f t="array" ref="DE28">1/2*(rf-q)*DD28*dt-1/2*(sigma^2)*(DD28^2)*dt</f>
        <v>-2.9111020520547939</v>
      </c>
      <c r="DF28" s="25">
        <f t="shared" si="4"/>
        <v>6.8389810904109574</v>
      </c>
      <c r="DG28" s="6">
        <f t="shared" si="5"/>
        <v>-2.9276127369863008</v>
      </c>
      <c r="DH28" s="25">
        <f t="shared" si="6"/>
        <v>69.601496716556568</v>
      </c>
      <c r="DI28">
        <v>74.147791425888286</v>
      </c>
      <c r="DJ28" s="27">
        <f t="shared" si="7"/>
        <v>74.147791425888286</v>
      </c>
    </row>
    <row r="29" spans="2:114" x14ac:dyDescent="0.25">
      <c r="AA29" s="15">
        <f>Z30/$C$14</f>
        <v>83089.505594188318</v>
      </c>
      <c r="AB29" s="16">
        <f>MAX((AC28*$C$15+AC30*(1-$C$15))*EXP(-$C$9*$C$13),$C$8-AB28)</f>
        <v>1.256782671175927E-2</v>
      </c>
      <c r="AC29" s="15">
        <f>AB30/$C$14</f>
        <v>83089.505594188318</v>
      </c>
      <c r="AD29" s="16">
        <f>MAX((AE28*$C$15+AE30*(1-$C$15))*EXP(-$C$9*$C$13),$C$8-AD28)</f>
        <v>3.312961365490895E-3</v>
      </c>
      <c r="AE29" s="15">
        <f>AD30/$C$14</f>
        <v>83089.505594188318</v>
      </c>
      <c r="AF29" s="16">
        <f>MAX((AG28*$C$15+AG30*(1-$C$15))*EXP(-$C$9*$C$13),$C$8-AF28)</f>
        <v>4.8833719889225069E-4</v>
      </c>
      <c r="AG29" s="15">
        <f>AF30/$C$14</f>
        <v>83089.505594188318</v>
      </c>
      <c r="AH29" s="16">
        <f>MAX((AI28*$C$15+AI30*(1-$C$15))*EXP(-$C$9*$C$13),$C$8-AH28)</f>
        <v>0</v>
      </c>
      <c r="AI29" s="15">
        <f>AH30/$C$14</f>
        <v>83089.505594188318</v>
      </c>
      <c r="AJ29" s="16">
        <f>MAX((AK28*$C$15+AK30*(1-$C$15))*EXP(-$C$9*$C$13),$C$8-AJ28)</f>
        <v>0</v>
      </c>
      <c r="AK29" s="15">
        <f>AJ30/$C$14</f>
        <v>83089.505594188318</v>
      </c>
      <c r="AL29" s="16">
        <f>MAX((AM28*$C$15+AM30*(1-$C$15))*EXP(-$C$9*$C$13),$C$8-AL28)</f>
        <v>0</v>
      </c>
      <c r="AM29" s="15">
        <f>AL30/$C$14</f>
        <v>83089.505594188318</v>
      </c>
      <c r="AN29" s="16">
        <f>MAX((AO28*$C$15+AO30*(1-$C$15))*EXP(-$C$9*$C$13),$C$8-AN28)</f>
        <v>0</v>
      </c>
      <c r="AO29" s="15">
        <f>AN30/$C$14</f>
        <v>83089.505594188318</v>
      </c>
      <c r="AP29" s="16">
        <f>MAX((AQ28*$C$15+AQ30*(1-$C$15))*EXP(-$C$9*$C$13),$C$8-AP28)</f>
        <v>0</v>
      </c>
      <c r="AQ29" s="15">
        <f>AP30/$C$14</f>
        <v>83089.505594188318</v>
      </c>
      <c r="AR29" s="16">
        <f>MAX((AS28*$C$15+AS30*(1-$C$15))*EXP(-$C$9*$C$13),$C$8-AR28)</f>
        <v>0</v>
      </c>
      <c r="AS29" s="15">
        <f>AR30/$C$14</f>
        <v>83089.505594188318</v>
      </c>
      <c r="AT29" s="16">
        <f>MAX((AU28*$C$15+AU30*(1-$C$15))*EXP(-$C$9*$C$13),$C$8-AT28)</f>
        <v>0</v>
      </c>
      <c r="AU29" s="15">
        <f>AT30/$C$14</f>
        <v>83089.505594188318</v>
      </c>
      <c r="AV29" s="16">
        <f>MAX((AW28*$C$15+AW30*(1-$C$15))*EXP(-$C$9*$C$13),$C$8-AV28)</f>
        <v>0</v>
      </c>
      <c r="AW29" s="15">
        <f>AV30/$C$14</f>
        <v>83089.505594188318</v>
      </c>
      <c r="AX29" s="16">
        <f>MAX((AY28*$C$15+AY30*(1-$C$15))*EXP(-$C$9*$C$13),$C$8-AX28)</f>
        <v>0</v>
      </c>
      <c r="AY29" s="15">
        <f>AX30/$C$14</f>
        <v>83089.505594188318</v>
      </c>
      <c r="AZ29" s="16">
        <f>MAX((BA28*$C$15+BA30*(1-$C$15))*EXP(-$C$9*$C$13),$C$8-AZ28)</f>
        <v>0</v>
      </c>
      <c r="BA29" s="15">
        <f>AZ30/$C$14</f>
        <v>83089.505594188318</v>
      </c>
      <c r="BB29" s="16">
        <f>MAX(0,$C$8-BB28)</f>
        <v>0</v>
      </c>
      <c r="BD29" s="55">
        <f t="shared" si="8"/>
        <v>68938.13333333339</v>
      </c>
      <c r="BE29" s="48">
        <v>71.138688253377651</v>
      </c>
      <c r="BF29" s="48">
        <v>66.518891493730564</v>
      </c>
      <c r="BG29" s="48">
        <v>62.060882804151078</v>
      </c>
      <c r="BH29" s="48">
        <v>57.766077968944131</v>
      </c>
      <c r="BI29" s="48">
        <v>53.635728478441251</v>
      </c>
      <c r="BJ29" s="48">
        <v>49.670904639774406</v>
      </c>
      <c r="BK29" s="48">
        <v>45.872477697769384</v>
      </c>
      <c r="BL29" s="48">
        <v>42.241100984722358</v>
      </c>
      <c r="BM29" s="48">
        <v>38.777190137685309</v>
      </c>
      <c r="BN29" s="48">
        <v>35.480902446209363</v>
      </c>
      <c r="BO29" s="48">
        <v>32.352115422956082</v>
      </c>
      <c r="BP29" s="48">
        <v>29.390404724902297</v>
      </c>
      <c r="BQ29" s="48">
        <v>26.595021594774639</v>
      </c>
      <c r="BR29" s="48">
        <v>23.964870041594764</v>
      </c>
      <c r="BS29" s="48">
        <v>21.498484036479994</v>
      </c>
      <c r="BT29" s="48">
        <v>19.194005065698097</v>
      </c>
      <c r="BU29" s="48">
        <v>17.049160457788748</v>
      </c>
      <c r="BV29" s="48">
        <v>15.061242985378103</v>
      </c>
      <c r="BW29" s="48">
        <v>13.227092334681888</v>
      </c>
      <c r="BX29" s="48">
        <v>11.543079135477477</v>
      </c>
      <c r="BY29" s="48">
        <v>10.00509234942977</v>
      </c>
      <c r="BZ29" s="48">
        <v>8.6085309217125339</v>
      </c>
      <c r="CA29" s="48">
        <v>7.3483007048555722</v>
      </c>
      <c r="CB29" s="48">
        <v>6.2188177575790133</v>
      </c>
      <c r="CC29" s="48">
        <v>5.214019195438059</v>
      </c>
      <c r="CD29" s="48">
        <v>4.3273828118374906</v>
      </c>
      <c r="CE29" s="48">
        <v>3.5519566815550618</v>
      </c>
      <c r="CF29" s="48">
        <v>2.8803998851277437</v>
      </c>
      <c r="CG29" s="48">
        <v>2.3050353289580459</v>
      </c>
      <c r="CH29" s="48">
        <v>1.8179153585139056</v>
      </c>
      <c r="CI29" s="48">
        <v>1.4109004451691778</v>
      </c>
      <c r="CJ29" s="48">
        <v>1.0757506502316583</v>
      </c>
      <c r="CK29" s="48">
        <v>0.80422881689972481</v>
      </c>
      <c r="CL29" s="48">
        <v>0.58821351366408503</v>
      </c>
      <c r="CM29" s="48">
        <v>0.41981867342747287</v>
      </c>
      <c r="CN29" s="48">
        <v>0.29151569768023872</v>
      </c>
      <c r="CO29" s="48">
        <v>0.1962526230795707</v>
      </c>
      <c r="CP29" s="48">
        <v>0.1275639270354588</v>
      </c>
      <c r="CQ29" s="48">
        <v>7.9663877126557286E-2</v>
      </c>
      <c r="CR29" s="48">
        <v>4.7516240579407829E-2</v>
      </c>
      <c r="CS29" s="48">
        <v>2.6873903520215976E-2</v>
      </c>
      <c r="CT29" s="48">
        <v>1.4283693472027065E-2</v>
      </c>
      <c r="CU29" s="48">
        <v>7.0545124430761883E-3</v>
      </c>
      <c r="CV29" s="48">
        <v>3.1906148552173852E-3</v>
      </c>
      <c r="CW29" s="48">
        <v>1.2960585144584074E-3</v>
      </c>
      <c r="CX29" s="48">
        <v>4.6027098100685874E-4</v>
      </c>
      <c r="CY29" s="48">
        <v>1.3735899317753801E-4</v>
      </c>
      <c r="CZ29" s="48">
        <v>3.2335970433957186E-5</v>
      </c>
      <c r="DA29" s="48">
        <v>5.3446932632215843E-6</v>
      </c>
      <c r="DB29" s="48">
        <v>4.6581998546153552E-7</v>
      </c>
      <c r="DC29" s="49">
        <f t="shared" si="9"/>
        <v>0</v>
      </c>
      <c r="DD29" s="5">
        <f t="shared" si="10"/>
        <v>61</v>
      </c>
      <c r="DE29" s="30" cm="1">
        <f t="array" ref="DE29">1/2*(rf-q)*DD29*dt-1/2*(sigma^2)*(DD29^2)*dt</f>
        <v>-2.8178218417808214</v>
      </c>
      <c r="DF29" s="25">
        <f t="shared" si="4"/>
        <v>6.6521543684931501</v>
      </c>
      <c r="DG29" s="6">
        <f t="shared" si="5"/>
        <v>-2.8340662253424656</v>
      </c>
      <c r="DH29" s="25">
        <f t="shared" si="6"/>
        <v>80.857255772741127</v>
      </c>
      <c r="DI29">
        <v>85.952511670277772</v>
      </c>
      <c r="DJ29" s="27">
        <f t="shared" si="7"/>
        <v>85.952511670277772</v>
      </c>
    </row>
    <row r="30" spans="2:114" x14ac:dyDescent="0.25">
      <c r="Z30" s="15">
        <f>Y31/$C$14</f>
        <v>79913.526307243606</v>
      </c>
      <c r="AA30" s="16">
        <f>MAX((AB29*$C$15+AB31*(1-$C$15))*EXP(-$C$9*$C$13),$C$8-AA29)</f>
        <v>6.2506363639852916E-2</v>
      </c>
      <c r="AB30" s="15">
        <f>AA31/$C$14</f>
        <v>79913.526307243606</v>
      </c>
      <c r="AC30" s="16">
        <f>MAX((AD29*$C$15+AD31*(1-$C$15))*EXP(-$C$9*$C$13),$C$8-AC29)</f>
        <v>2.2978277211226857E-2</v>
      </c>
      <c r="AD30" s="15">
        <f>AC31/$C$14</f>
        <v>79913.526307243606</v>
      </c>
      <c r="AE30" s="16">
        <f>MAX((AF29*$C$15+AF31*(1-$C$15))*EXP(-$C$9*$C$13),$C$8-AE29)</f>
        <v>6.261673021401422E-3</v>
      </c>
      <c r="AF30" s="15">
        <f>AE31/$C$14</f>
        <v>79913.526307243606</v>
      </c>
      <c r="AG30" s="16">
        <f>MAX((AH29*$C$15+AH31*(1-$C$15))*EXP(-$C$9*$C$13),$C$8-AG29)</f>
        <v>9.5826354929328045E-4</v>
      </c>
      <c r="AH30" s="15">
        <f>AG31/$C$14</f>
        <v>79913.526307243606</v>
      </c>
      <c r="AI30" s="16">
        <f>MAX((AJ29*$C$15+AJ31*(1-$C$15))*EXP(-$C$9*$C$13),$C$8-AI29)</f>
        <v>0</v>
      </c>
      <c r="AJ30" s="15">
        <f>AI31/$C$14</f>
        <v>79913.526307243606</v>
      </c>
      <c r="AK30" s="16">
        <f>MAX((AL29*$C$15+AL31*(1-$C$15))*EXP(-$C$9*$C$13),$C$8-AK29)</f>
        <v>0</v>
      </c>
      <c r="AL30" s="15">
        <f>AK31/$C$14</f>
        <v>79913.526307243606</v>
      </c>
      <c r="AM30" s="16">
        <f>MAX((AN29*$C$15+AN31*(1-$C$15))*EXP(-$C$9*$C$13),$C$8-AM29)</f>
        <v>0</v>
      </c>
      <c r="AN30" s="15">
        <f>AM31/$C$14</f>
        <v>79913.526307243606</v>
      </c>
      <c r="AO30" s="16">
        <f>MAX((AP29*$C$15+AP31*(1-$C$15))*EXP(-$C$9*$C$13),$C$8-AO29)</f>
        <v>0</v>
      </c>
      <c r="AP30" s="15">
        <f>AO31/$C$14</f>
        <v>79913.526307243606</v>
      </c>
      <c r="AQ30" s="16">
        <f>MAX((AR29*$C$15+AR31*(1-$C$15))*EXP(-$C$9*$C$13),$C$8-AQ29)</f>
        <v>0</v>
      </c>
      <c r="AR30" s="15">
        <f>AQ31/$C$14</f>
        <v>79913.526307243606</v>
      </c>
      <c r="AS30" s="16">
        <f>MAX((AT29*$C$15+AT31*(1-$C$15))*EXP(-$C$9*$C$13),$C$8-AS29)</f>
        <v>0</v>
      </c>
      <c r="AT30" s="15">
        <f>AS31/$C$14</f>
        <v>79913.526307243606</v>
      </c>
      <c r="AU30" s="16">
        <f>MAX((AV29*$C$15+AV31*(1-$C$15))*EXP(-$C$9*$C$13),$C$8-AU29)</f>
        <v>0</v>
      </c>
      <c r="AV30" s="15">
        <f>AU31/$C$14</f>
        <v>79913.526307243606</v>
      </c>
      <c r="AW30" s="16">
        <f>MAX((AX29*$C$15+AX31*(1-$C$15))*EXP(-$C$9*$C$13),$C$8-AW29)</f>
        <v>0</v>
      </c>
      <c r="AX30" s="15">
        <f>AW31/$C$14</f>
        <v>79913.526307243606</v>
      </c>
      <c r="AY30" s="16">
        <f>MAX((AZ29*$C$15+AZ31*(1-$C$15))*EXP(-$C$9*$C$13),$C$8-AY29)</f>
        <v>0</v>
      </c>
      <c r="AZ30" s="15">
        <f>AY31/$C$14</f>
        <v>79913.526307243606</v>
      </c>
      <c r="BA30" s="16">
        <f>MAX((BB29*$C$15+BB31*(1-$C$15))*EXP(-$C$9*$C$13),$C$8-BA29)</f>
        <v>0</v>
      </c>
      <c r="BB30" s="15">
        <f>BA31/$C$14</f>
        <v>79913.526307243606</v>
      </c>
      <c r="BD30" s="55">
        <f t="shared" si="8"/>
        <v>67808.000000000058</v>
      </c>
      <c r="BE30" s="48">
        <v>83.024215053625639</v>
      </c>
      <c r="BF30" s="48">
        <v>77.818369643503559</v>
      </c>
      <c r="BG30" s="48">
        <v>72.782838516155749</v>
      </c>
      <c r="BH30" s="48">
        <v>67.919636054075724</v>
      </c>
      <c r="BI30" s="48">
        <v>63.230629624522187</v>
      </c>
      <c r="BJ30" s="48">
        <v>58.717521496332601</v>
      </c>
      <c r="BK30" s="48">
        <v>54.381829459293691</v>
      </c>
      <c r="BL30" s="48">
        <v>50.224866124656614</v>
      </c>
      <c r="BM30" s="48">
        <v>46.24771690203535</v>
      </c>
      <c r="BN30" s="48">
        <v>42.451216669244104</v>
      </c>
      <c r="BO30" s="48">
        <v>38.835925178473779</v>
      </c>
      <c r="BP30" s="48">
        <v>35.402101275532473</v>
      </c>
      <c r="BQ30" s="48">
        <v>32.149676049734929</v>
      </c>
      <c r="BR30" s="48">
        <v>29.078225081542715</v>
      </c>
      <c r="BS30" s="48">
        <v>26.186940014411256</v>
      </c>
      <c r="BT30" s="48">
        <v>23.474599747664616</v>
      </c>
      <c r="BU30" s="48">
        <v>20.939541629690261</v>
      </c>
      <c r="BV30" s="48">
        <v>18.579633126237258</v>
      </c>
      <c r="BW30" s="48">
        <v>16.392244547676832</v>
      </c>
      <c r="BX30" s="48">
        <v>14.374223541749735</v>
      </c>
      <c r="BY30" s="48">
        <v>12.521872193741006</v>
      </c>
      <c r="BZ30" s="48">
        <v>10.830927722125303</v>
      </c>
      <c r="CA30" s="48">
        <v>9.2965479107673676</v>
      </c>
      <c r="CB30" s="48">
        <v>7.9133025727220012</v>
      </c>
      <c r="CC30" s="48">
        <v>6.6751724866100464</v>
      </c>
      <c r="CD30" s="48">
        <v>5.5755573718153197</v>
      </c>
      <c r="CE30" s="48">
        <v>4.6072945562847014</v>
      </c>
      <c r="CF30" s="48">
        <v>3.7626900183462917</v>
      </c>
      <c r="CG30" s="48">
        <v>3.0335634240329075</v>
      </c>
      <c r="CH30" s="48">
        <v>2.4113086008990585</v>
      </c>
      <c r="CI30" s="48">
        <v>1.8869705511459787</v>
      </c>
      <c r="CJ30" s="48">
        <v>1.4513395719603277</v>
      </c>
      <c r="CK30" s="48">
        <v>1.0950622838853388</v>
      </c>
      <c r="CL30" s="48">
        <v>0.80876834289440291</v>
      </c>
      <c r="CM30" s="48">
        <v>0.58321032469281808</v>
      </c>
      <c r="CN30" s="48">
        <v>0.40941275101702251</v>
      </c>
      <c r="CO30" s="48">
        <v>0.27882455947890705</v>
      </c>
      <c r="CP30" s="48">
        <v>0.18346765059649753</v>
      </c>
      <c r="CQ30" s="48">
        <v>0.11607270722564525</v>
      </c>
      <c r="CR30" s="48">
        <v>7.0192580395138884E-2</v>
      </c>
      <c r="CS30" s="48">
        <v>4.0283534521098119E-2</v>
      </c>
      <c r="CT30" s="48">
        <v>2.1745905542223287E-2</v>
      </c>
      <c r="CU30" s="48">
        <v>1.0918510078834891E-2</v>
      </c>
      <c r="CV30" s="48">
        <v>5.0254818773796586E-3</v>
      </c>
      <c r="CW30" s="48">
        <v>2.0797559619341517E-3</v>
      </c>
      <c r="CX30" s="48">
        <v>7.5334677252116987E-4</v>
      </c>
      <c r="CY30" s="48">
        <v>2.2960143629750394E-4</v>
      </c>
      <c r="CZ30" s="48">
        <v>5.5273585354703237E-5</v>
      </c>
      <c r="DA30" s="48">
        <v>9.3558830913139107E-6</v>
      </c>
      <c r="DB30" s="48">
        <v>8.3631581202755421E-7</v>
      </c>
      <c r="DC30" s="49">
        <f t="shared" si="9"/>
        <v>0</v>
      </c>
      <c r="DD30" s="5">
        <f t="shared" si="10"/>
        <v>60</v>
      </c>
      <c r="DE30" s="30" cm="1">
        <f t="array" ref="DE30">1/2*(rf-q)*DD30*dt-1/2*(sigma^2)*(DD30^2)*dt</f>
        <v>-2.7260605479452047</v>
      </c>
      <c r="DF30" s="25">
        <f t="shared" si="4"/>
        <v>6.4683654794520535</v>
      </c>
      <c r="DG30" s="6">
        <f t="shared" si="5"/>
        <v>-2.7420386301369857</v>
      </c>
      <c r="DH30" s="25">
        <f t="shared" si="6"/>
        <v>93.93815581576149</v>
      </c>
      <c r="DI30">
        <v>99.641632657785067</v>
      </c>
      <c r="DJ30" s="27">
        <f t="shared" si="7"/>
        <v>99.641632657785067</v>
      </c>
    </row>
    <row r="31" spans="2:114" x14ac:dyDescent="0.25">
      <c r="Y31" s="15">
        <f>X32/$C$14</f>
        <v>76858.944353920859</v>
      </c>
      <c r="Z31" s="16">
        <f>MAX((AA30*$C$15+AA32*(1-$C$15))*EXP(-$C$9*$C$13),$C$8-Z30)</f>
        <v>0.24199940876356738</v>
      </c>
      <c r="AA31" s="15">
        <f>Z32/$C$14</f>
        <v>76858.944353920859</v>
      </c>
      <c r="AB31" s="16">
        <f>MAX((AC30*$C$15+AC32*(1-$C$15))*EXP(-$C$9*$C$13),$C$8-AB30)</f>
        <v>0.11056872950900627</v>
      </c>
      <c r="AC31" s="15">
        <f>AB32/$C$14</f>
        <v>76858.944353920859</v>
      </c>
      <c r="AD31" s="16">
        <f>MAX((AE30*$C$15+AE32*(1-$C$15))*EXP(-$C$9*$C$13),$C$8-AD30)</f>
        <v>4.1903920061296972E-2</v>
      </c>
      <c r="AE31" s="15">
        <f>AD32/$C$14</f>
        <v>76858.944353920859</v>
      </c>
      <c r="AF31" s="16">
        <f>MAX((AG30*$C$15+AG32*(1-$C$15))*EXP(-$C$9*$C$13),$C$8-AF30)</f>
        <v>1.1817602898396994E-2</v>
      </c>
      <c r="AG31" s="15">
        <f>AF32/$C$14</f>
        <v>76858.944353920859</v>
      </c>
      <c r="AH31" s="16">
        <f>MAX((AI30*$C$15+AI32*(1-$C$15))*EXP(-$C$9*$C$13),$C$8-AH30)</f>
        <v>1.8803995108035323E-3</v>
      </c>
      <c r="AI31" s="15">
        <f>AH32/$C$14</f>
        <v>76858.944353920859</v>
      </c>
      <c r="AJ31" s="16">
        <f>MAX((AK30*$C$15+AK32*(1-$C$15))*EXP(-$C$9*$C$13),$C$8-AJ30)</f>
        <v>0</v>
      </c>
      <c r="AK31" s="15">
        <f>AJ32/$C$14</f>
        <v>76858.944353920859</v>
      </c>
      <c r="AL31" s="16">
        <f>MAX((AM30*$C$15+AM32*(1-$C$15))*EXP(-$C$9*$C$13),$C$8-AL30)</f>
        <v>0</v>
      </c>
      <c r="AM31" s="15">
        <f>AL32/$C$14</f>
        <v>76858.944353920859</v>
      </c>
      <c r="AN31" s="16">
        <f>MAX((AO30*$C$15+AO32*(1-$C$15))*EXP(-$C$9*$C$13),$C$8-AN30)</f>
        <v>0</v>
      </c>
      <c r="AO31" s="15">
        <f>AN32/$C$14</f>
        <v>76858.944353920859</v>
      </c>
      <c r="AP31" s="16">
        <f>MAX((AQ30*$C$15+AQ32*(1-$C$15))*EXP(-$C$9*$C$13),$C$8-AP30)</f>
        <v>0</v>
      </c>
      <c r="AQ31" s="15">
        <f>AP32/$C$14</f>
        <v>76858.944353920859</v>
      </c>
      <c r="AR31" s="16">
        <f>MAX((AS30*$C$15+AS32*(1-$C$15))*EXP(-$C$9*$C$13),$C$8-AR30)</f>
        <v>0</v>
      </c>
      <c r="AS31" s="15">
        <f>AR32/$C$14</f>
        <v>76858.944353920859</v>
      </c>
      <c r="AT31" s="16">
        <f>MAX((AU30*$C$15+AU32*(1-$C$15))*EXP(-$C$9*$C$13),$C$8-AT30)</f>
        <v>0</v>
      </c>
      <c r="AU31" s="15">
        <f>AT32/$C$14</f>
        <v>76858.944353920859</v>
      </c>
      <c r="AV31" s="16">
        <f>MAX((AW30*$C$15+AW32*(1-$C$15))*EXP(-$C$9*$C$13),$C$8-AV30)</f>
        <v>0</v>
      </c>
      <c r="AW31" s="15">
        <f>AV32/$C$14</f>
        <v>76858.944353920859</v>
      </c>
      <c r="AX31" s="16">
        <f>MAX((AY30*$C$15+AY32*(1-$C$15))*EXP(-$C$9*$C$13),$C$8-AX30)</f>
        <v>0</v>
      </c>
      <c r="AY31" s="15">
        <f>AX32/$C$14</f>
        <v>76858.944353920859</v>
      </c>
      <c r="AZ31" s="16">
        <f>MAX((BA30*$C$15+BA32*(1-$C$15))*EXP(-$C$9*$C$13),$C$8-AZ30)</f>
        <v>0</v>
      </c>
      <c r="BA31" s="15">
        <f>AZ32/$C$14</f>
        <v>76858.944353920859</v>
      </c>
      <c r="BB31" s="16">
        <f>MAX(0,$C$8-BB30)</f>
        <v>0</v>
      </c>
      <c r="BD31" s="55">
        <f t="shared" si="8"/>
        <v>66677.866666666727</v>
      </c>
      <c r="BE31" s="48">
        <v>96.89717489181416</v>
      </c>
      <c r="BF31" s="48">
        <v>91.038860978517789</v>
      </c>
      <c r="BG31" s="48">
        <v>85.358715237029685</v>
      </c>
      <c r="BH31" s="48">
        <v>79.859408282892488</v>
      </c>
      <c r="BI31" s="48">
        <v>74.543487715515141</v>
      </c>
      <c r="BJ31" s="48">
        <v>69.413359308203781</v>
      </c>
      <c r="BK31" s="48">
        <v>64.471266599109441</v>
      </c>
      <c r="BL31" s="48">
        <v>59.719268815163439</v>
      </c>
      <c r="BM31" s="48">
        <v>55.159217072774346</v>
      </c>
      <c r="BN31" s="48">
        <v>50.792728815333341</v>
      </c>
      <c r="BO31" s="48">
        <v>46.621160469408572</v>
      </c>
      <c r="BP31" s="48">
        <v>42.64557833007526</v>
      </c>
      <c r="BQ31" s="48">
        <v>38.866727722455074</v>
      </c>
      <c r="BR31" s="48">
        <v>35.285000532727643</v>
      </c>
      <c r="BS31" s="48">
        <v>31.900401259302686</v>
      </c>
      <c r="BT31" s="48">
        <v>28.712511805304462</v>
      </c>
      <c r="BU31" s="48">
        <v>25.720455318930135</v>
      </c>
      <c r="BV31" s="48">
        <v>22.922859490504948</v>
      </c>
      <c r="BW31" s="48">
        <v>20.317819835962496</v>
      </c>
      <c r="BX31" s="48">
        <v>17.902863637494232</v>
      </c>
      <c r="BY31" s="48">
        <v>15.674915374109025</v>
      </c>
      <c r="BZ31" s="48">
        <v>13.630264657692338</v>
      </c>
      <c r="CA31" s="48">
        <v>11.764537892211486</v>
      </c>
      <c r="CB31" s="48">
        <v>10.072675091116764</v>
      </c>
      <c r="CC31" s="48">
        <v>8.5489135138043277</v>
      </c>
      <c r="CD31" s="48">
        <v>7.1867800051511326</v>
      </c>
      <c r="CE31" s="48">
        <v>5.9790941261612618</v>
      </c>
      <c r="CF31" s="48">
        <v>4.9179843255352855</v>
      </c>
      <c r="CG31" s="48">
        <v>3.9949194903973022</v>
      </c>
      <c r="CH31" s="48">
        <v>3.2007581894727237</v>
      </c>
      <c r="CI31" s="48">
        <v>2.525817734700305</v>
      </c>
      <c r="CJ31" s="48">
        <v>1.9599647803222695</v>
      </c>
      <c r="CK31" s="48">
        <v>1.4927284911853997</v>
      </c>
      <c r="CL31" s="48">
        <v>1.1134362846029169</v>
      </c>
      <c r="CM31" s="48">
        <v>0.81137073860867948</v>
      </c>
      <c r="CN31" s="48">
        <v>0.57594444954029012</v>
      </c>
      <c r="CO31" s="48">
        <v>0.39688745424571314</v>
      </c>
      <c r="CP31" s="48">
        <v>0.26443942900399919</v>
      </c>
      <c r="CQ31" s="48">
        <v>0.16953647047710571</v>
      </c>
      <c r="CR31" s="48">
        <v>0.10398021510922491</v>
      </c>
      <c r="CS31" s="48">
        <v>6.0575850766439808E-2</v>
      </c>
      <c r="CT31" s="48">
        <v>3.3225790021464259E-2</v>
      </c>
      <c r="CU31" s="48">
        <v>1.6967959932520784E-2</v>
      </c>
      <c r="CV31" s="48">
        <v>7.9521741892405896E-3</v>
      </c>
      <c r="CW31" s="48">
        <v>3.3548163021985861E-3</v>
      </c>
      <c r="CX31" s="48">
        <v>1.2403392861847615E-3</v>
      </c>
      <c r="CY31" s="48">
        <v>3.8635559205778904E-4</v>
      </c>
      <c r="CZ31" s="48">
        <v>9.5195013814688257E-5</v>
      </c>
      <c r="DA31" s="48">
        <v>1.6516721646983526E-5</v>
      </c>
      <c r="DB31" s="48">
        <v>1.5158442420998912E-6</v>
      </c>
      <c r="DC31" s="49">
        <f t="shared" si="9"/>
        <v>0</v>
      </c>
      <c r="DD31" s="5">
        <f t="shared" si="10"/>
        <v>59</v>
      </c>
      <c r="DE31" s="30" cm="1">
        <f t="array" ref="DE31">1/2*(rf-q)*DD31*dt-1/2*(sigma^2)*(DD31^2)*dt</f>
        <v>-2.6358181705479446</v>
      </c>
      <c r="DF31" s="25">
        <f t="shared" si="4"/>
        <v>6.2876144232876703</v>
      </c>
      <c r="DG31" s="6">
        <f t="shared" si="5"/>
        <v>-2.6515299513698625</v>
      </c>
      <c r="DH31" s="25">
        <f t="shared" si="6"/>
        <v>109.13711196975873</v>
      </c>
      <c r="DI31">
        <v>115.51292727678094</v>
      </c>
      <c r="DJ31" s="27">
        <f t="shared" si="7"/>
        <v>115.51292727678094</v>
      </c>
    </row>
    <row r="32" spans="2:114" x14ac:dyDescent="0.25">
      <c r="X32" s="15">
        <f>W33/$C$14</f>
        <v>73921.119492178477</v>
      </c>
      <c r="Y32" s="16">
        <f>MAX((Z31*$C$15+Z33*(1-$C$15))*EXP(-$C$9*$C$13),$C$8-Y31)</f>
        <v>0.77716449428639167</v>
      </c>
      <c r="Z32" s="15">
        <f>Y33/$C$14</f>
        <v>73921.119492178477</v>
      </c>
      <c r="AA32" s="16">
        <f>MAX((AB31*$C$15+AB33*(1-$C$15))*EXP(-$C$9*$C$13),$C$8-AA31)</f>
        <v>0.4147580281969524</v>
      </c>
      <c r="AB32" s="15">
        <f>AA33/$C$14</f>
        <v>73921.119492178477</v>
      </c>
      <c r="AC32" s="16">
        <f>MAX((AD31*$C$15+AD33*(1-$C$15))*EXP(-$C$9*$C$13),$C$8-AC31)</f>
        <v>0.19486893159517674</v>
      </c>
      <c r="AD32" s="15">
        <f>AC33/$C$14</f>
        <v>73921.119492178477</v>
      </c>
      <c r="AE32" s="16">
        <f>MAX((AF31*$C$15+AF33*(1-$C$15))*EXP(-$C$9*$C$13),$C$8-AE31)</f>
        <v>7.6205686942269521E-2</v>
      </c>
      <c r="AF32" s="15">
        <f>AE33/$C$14</f>
        <v>73921.119492178477</v>
      </c>
      <c r="AG32" s="16">
        <f>MAX((AH31*$C$15+AH33*(1-$C$15))*EXP(-$C$9*$C$13),$C$8-AG31)</f>
        <v>2.2268033919032613E-2</v>
      </c>
      <c r="AH32" s="15">
        <f>AG33/$C$14</f>
        <v>73921.119492178477</v>
      </c>
      <c r="AI32" s="16">
        <f>MAX((AJ31*$C$15+AJ33*(1-$C$15))*EXP(-$C$9*$C$13),$C$8-AI31)</f>
        <v>3.6899058957610277E-3</v>
      </c>
      <c r="AJ32" s="15">
        <f>AI33/$C$14</f>
        <v>73921.119492178477</v>
      </c>
      <c r="AK32" s="16">
        <f>MAX((AL31*$C$15+AL33*(1-$C$15))*EXP(-$C$9*$C$13),$C$8-AK31)</f>
        <v>0</v>
      </c>
      <c r="AL32" s="15">
        <f>AK33/$C$14</f>
        <v>73921.119492178477</v>
      </c>
      <c r="AM32" s="16">
        <f>MAX((AN31*$C$15+AN33*(1-$C$15))*EXP(-$C$9*$C$13),$C$8-AM31)</f>
        <v>0</v>
      </c>
      <c r="AN32" s="15">
        <f>AM33/$C$14</f>
        <v>73921.119492178477</v>
      </c>
      <c r="AO32" s="16">
        <f>MAX((AP31*$C$15+AP33*(1-$C$15))*EXP(-$C$9*$C$13),$C$8-AO31)</f>
        <v>0</v>
      </c>
      <c r="AP32" s="15">
        <f>AO33/$C$14</f>
        <v>73921.119492178477</v>
      </c>
      <c r="AQ32" s="16">
        <f>MAX((AR31*$C$15+AR33*(1-$C$15))*EXP(-$C$9*$C$13),$C$8-AQ31)</f>
        <v>0</v>
      </c>
      <c r="AR32" s="15">
        <f>AQ33/$C$14</f>
        <v>73921.119492178477</v>
      </c>
      <c r="AS32" s="16">
        <f>MAX((AT31*$C$15+AT33*(1-$C$15))*EXP(-$C$9*$C$13),$C$8-AS31)</f>
        <v>0</v>
      </c>
      <c r="AT32" s="15">
        <f>AS33/$C$14</f>
        <v>73921.119492178477</v>
      </c>
      <c r="AU32" s="16">
        <f>MAX((AV31*$C$15+AV33*(1-$C$15))*EXP(-$C$9*$C$13),$C$8-AU31)</f>
        <v>0</v>
      </c>
      <c r="AV32" s="15">
        <f>AU33/$C$14</f>
        <v>73921.119492178477</v>
      </c>
      <c r="AW32" s="16">
        <f>MAX((AX31*$C$15+AX33*(1-$C$15))*EXP(-$C$9*$C$13),$C$8-AW31)</f>
        <v>0</v>
      </c>
      <c r="AX32" s="15">
        <f>AW33/$C$14</f>
        <v>73921.119492178477</v>
      </c>
      <c r="AY32" s="16">
        <f>MAX((AZ31*$C$15+AZ33*(1-$C$15))*EXP(-$C$9*$C$13),$C$8-AY31)</f>
        <v>0</v>
      </c>
      <c r="AZ32" s="15">
        <f>AY33/$C$14</f>
        <v>73921.119492178477</v>
      </c>
      <c r="BA32" s="16">
        <f>MAX((BB31*$C$15+BB33*(1-$C$15))*EXP(-$C$9*$C$13),$C$8-BA31)</f>
        <v>0</v>
      </c>
      <c r="BB32" s="15">
        <f>BA33/$C$14</f>
        <v>73921.119492178477</v>
      </c>
      <c r="BD32" s="55">
        <f t="shared" si="8"/>
        <v>65547.733333333395</v>
      </c>
      <c r="BE32" s="48">
        <v>113.08519831679261</v>
      </c>
      <c r="BF32" s="48">
        <v>106.50233972561972</v>
      </c>
      <c r="BG32" s="48">
        <v>100.10455481024549</v>
      </c>
      <c r="BH32" s="48">
        <v>93.895221271749108</v>
      </c>
      <c r="BI32" s="48">
        <v>87.877625061097902</v>
      </c>
      <c r="BJ32" s="48">
        <v>82.054941442835116</v>
      </c>
      <c r="BK32" s="48">
        <v>76.430214181859554</v>
      </c>
      <c r="BL32" s="48">
        <v>71.006332734122012</v>
      </c>
      <c r="BM32" s="48">
        <v>65.786007327064652</v>
      </c>
      <c r="BN32" s="48">
        <v>60.771741824713445</v>
      </c>
      <c r="BO32" s="48">
        <v>55.965804286582717</v>
      </c>
      <c r="BP32" s="48">
        <v>51.370195150266689</v>
      </c>
      <c r="BQ32" s="48">
        <v>46.986612996342977</v>
      </c>
      <c r="BR32" s="48">
        <v>42.816417892795251</v>
      </c>
      <c r="BS32" s="48">
        <v>38.8605923667035</v>
      </c>
      <c r="BT32" s="48">
        <v>35.119700115855842</v>
      </c>
      <c r="BU32" s="48">
        <v>31.593842654910727</v>
      </c>
      <c r="BV32" s="48">
        <v>28.282614192751378</v>
      </c>
      <c r="BW32" s="48">
        <v>25.185055162860262</v>
      </c>
      <c r="BX32" s="48">
        <v>22.299604980072644</v>
      </c>
      <c r="BY32" s="48">
        <v>19.624054777908505</v>
      </c>
      <c r="BZ32" s="48">
        <v>17.155501093228057</v>
      </c>
      <c r="CA32" s="48">
        <v>14.890301710517011</v>
      </c>
      <c r="CB32" s="48">
        <v>12.824035156165754</v>
      </c>
      <c r="CC32" s="48">
        <v>10.951465640316304</v>
      </c>
      <c r="CD32" s="48">
        <v>9.2665155727322279</v>
      </c>
      <c r="CE32" s="48">
        <v>7.762248116411377</v>
      </c>
      <c r="CF32" s="48">
        <v>6.4308625672201369</v>
      </c>
      <c r="CG32" s="48">
        <v>5.2637056285012225</v>
      </c>
      <c r="CH32" s="48">
        <v>4.2513018427501894</v>
      </c>
      <c r="CI32" s="48">
        <v>3.38340649021506</v>
      </c>
      <c r="CJ32" s="48">
        <v>2.6490840923947632</v>
      </c>
      <c r="CK32" s="48">
        <v>2.036815180302562</v>
      </c>
      <c r="CL32" s="48">
        <v>1.5346331033628473</v>
      </c>
      <c r="CM32" s="48">
        <v>1.1302912691730658</v>
      </c>
      <c r="CN32" s="48">
        <v>0.8114592371359548</v>
      </c>
      <c r="CO32" s="48">
        <v>0.5659435080786831</v>
      </c>
      <c r="CP32" s="48">
        <v>0.38192571020217481</v>
      </c>
      <c r="CQ32" s="48">
        <v>0.24820736479501632</v>
      </c>
      <c r="CR32" s="48">
        <v>0.1544468904410812</v>
      </c>
      <c r="CS32" s="48">
        <v>9.1371554882605635E-2</v>
      </c>
      <c r="CT32" s="48">
        <v>5.0945500819119534E-2</v>
      </c>
      <c r="CU32" s="48">
        <v>2.6475672600501415E-2</v>
      </c>
      <c r="CV32" s="48">
        <v>1.2641301847350553E-2</v>
      </c>
      <c r="CW32" s="48">
        <v>5.4400250436889615E-3</v>
      </c>
      <c r="CX32" s="48">
        <v>2.0543518983688019E-3</v>
      </c>
      <c r="CY32" s="48">
        <v>6.5454624806182606E-4</v>
      </c>
      <c r="CZ32" s="48">
        <v>1.6521369266575659E-4</v>
      </c>
      <c r="DA32" s="48">
        <v>2.9413079262842686E-5</v>
      </c>
      <c r="DB32" s="48">
        <v>2.7746707938390189E-6</v>
      </c>
      <c r="DC32" s="49">
        <f t="shared" si="9"/>
        <v>0</v>
      </c>
      <c r="DD32" s="5">
        <f t="shared" si="10"/>
        <v>58</v>
      </c>
      <c r="DE32" s="30" cm="1">
        <f t="array" ref="DE32">1/2*(rf-q)*DD32*dt-1/2*(sigma^2)*(DD32^2)*dt</f>
        <v>-2.5470947095890408</v>
      </c>
      <c r="DF32" s="25">
        <f t="shared" si="4"/>
        <v>6.1099011999999995</v>
      </c>
      <c r="DG32" s="6">
        <f t="shared" si="5"/>
        <v>-2.5625401890410955</v>
      </c>
      <c r="DH32" s="25">
        <f t="shared" si="6"/>
        <v>126.79226841867757</v>
      </c>
      <c r="DI32">
        <v>133.90941234122511</v>
      </c>
      <c r="DJ32" s="27">
        <f t="shared" si="7"/>
        <v>133.90941234122511</v>
      </c>
    </row>
    <row r="33" spans="4:114" x14ac:dyDescent="0.25">
      <c r="W33" s="15">
        <f>V34/$C$14</f>
        <v>71095.588846689294</v>
      </c>
      <c r="X33" s="16">
        <f>MAX((Y32*$C$15+Y34*(1-$C$15))*EXP(-$C$9*$C$13),$C$8-X32)</f>
        <v>2.154453327324644</v>
      </c>
      <c r="Y33" s="15">
        <f>X34/$C$14</f>
        <v>71095.588846689294</v>
      </c>
      <c r="Z33" s="16">
        <f>MAX((AA32*$C$15+AA34*(1-$C$15))*EXP(-$C$9*$C$13),$C$8-Z32)</f>
        <v>1.292279711657375</v>
      </c>
      <c r="AA33" s="15">
        <f>Z34/$C$14</f>
        <v>71095.588846689294</v>
      </c>
      <c r="AB33" s="16">
        <f>MAX((AC32*$C$15+AC34*(1-$C$15))*EXP(-$C$9*$C$13),$C$8-AB32)</f>
        <v>0.70753682780930849</v>
      </c>
      <c r="AC33" s="15">
        <f>AB34/$C$14</f>
        <v>71095.588846689294</v>
      </c>
      <c r="AD33" s="16">
        <f>MAX((AE32*$C$15+AE34*(1-$C$15))*EXP(-$C$9*$C$13),$C$8-AD32)</f>
        <v>0.34208888878835692</v>
      </c>
      <c r="AE33" s="15">
        <f>AD34/$C$14</f>
        <v>71095.588846689294</v>
      </c>
      <c r="AF33" s="16">
        <f>MAX((AG32*$C$15+AG34*(1-$C$15))*EXP(-$C$9*$C$13),$C$8-AF32)</f>
        <v>0.1381724441514052</v>
      </c>
      <c r="AG33" s="15">
        <f>AF34/$C$14</f>
        <v>71095.588846689294</v>
      </c>
      <c r="AH33" s="16">
        <f>MAX((AI32*$C$15+AI34*(1-$C$15))*EXP(-$C$9*$C$13),$C$8-AH32)</f>
        <v>4.1888014624845316E-2</v>
      </c>
      <c r="AI33" s="15">
        <f>AH34/$C$14</f>
        <v>71095.588846689294</v>
      </c>
      <c r="AJ33" s="16">
        <f>MAX((AK32*$C$15+AK34*(1-$C$15))*EXP(-$C$9*$C$13),$C$8-AJ32)</f>
        <v>7.2406982885003281E-3</v>
      </c>
      <c r="AK33" s="15">
        <f>AJ34/$C$14</f>
        <v>71095.588846689294</v>
      </c>
      <c r="AL33" s="16">
        <f>MAX((AM32*$C$15+AM34*(1-$C$15))*EXP(-$C$9*$C$13),$C$8-AL32)</f>
        <v>0</v>
      </c>
      <c r="AM33" s="15">
        <f>AL34/$C$14</f>
        <v>71095.588846689294</v>
      </c>
      <c r="AN33" s="16">
        <f>MAX((AO32*$C$15+AO34*(1-$C$15))*EXP(-$C$9*$C$13),$C$8-AN32)</f>
        <v>0</v>
      </c>
      <c r="AO33" s="15">
        <f>AN34/$C$14</f>
        <v>71095.588846689294</v>
      </c>
      <c r="AP33" s="16">
        <f>MAX((AQ32*$C$15+AQ34*(1-$C$15))*EXP(-$C$9*$C$13),$C$8-AP32)</f>
        <v>0</v>
      </c>
      <c r="AQ33" s="15">
        <f>AP34/$C$14</f>
        <v>71095.588846689294</v>
      </c>
      <c r="AR33" s="16">
        <f>MAX((AS32*$C$15+AS34*(1-$C$15))*EXP(-$C$9*$C$13),$C$8-AR32)</f>
        <v>0</v>
      </c>
      <c r="AS33" s="15">
        <f>AR34/$C$14</f>
        <v>71095.588846689294</v>
      </c>
      <c r="AT33" s="16">
        <f>MAX((AU32*$C$15+AU34*(1-$C$15))*EXP(-$C$9*$C$13),$C$8-AT32)</f>
        <v>0</v>
      </c>
      <c r="AU33" s="15">
        <f>AT34/$C$14</f>
        <v>71095.588846689294</v>
      </c>
      <c r="AV33" s="16">
        <f>MAX((AW32*$C$15+AW34*(1-$C$15))*EXP(-$C$9*$C$13),$C$8-AV32)</f>
        <v>0</v>
      </c>
      <c r="AW33" s="15">
        <f>AV34/$C$14</f>
        <v>71095.588846689294</v>
      </c>
      <c r="AX33" s="16">
        <f>MAX((AY32*$C$15+AY34*(1-$C$15))*EXP(-$C$9*$C$13),$C$8-AX32)</f>
        <v>0</v>
      </c>
      <c r="AY33" s="15">
        <f>AX34/$C$14</f>
        <v>71095.588846689294</v>
      </c>
      <c r="AZ33" s="16">
        <f>MAX((BA32*$C$15+BA34*(1-$C$15))*EXP(-$C$9*$C$13),$C$8-AZ32)</f>
        <v>0</v>
      </c>
      <c r="BA33" s="15">
        <f>AZ34/$C$14</f>
        <v>71095.588846689294</v>
      </c>
      <c r="BB33" s="16">
        <f>MAX(0,$C$8-BB32)</f>
        <v>0</v>
      </c>
      <c r="BD33" s="55">
        <f t="shared" si="8"/>
        <v>64417.600000000064</v>
      </c>
      <c r="BE33" s="48">
        <v>131.9676661579056</v>
      </c>
      <c r="BF33" s="48">
        <v>124.5825203380008</v>
      </c>
      <c r="BG33" s="48">
        <v>117.38808882270256</v>
      </c>
      <c r="BH33" s="48">
        <v>110.38849706098324</v>
      </c>
      <c r="BI33" s="48">
        <v>103.58781763220365</v>
      </c>
      <c r="BJ33" s="48">
        <v>96.990051917593348</v>
      </c>
      <c r="BK33" s="48">
        <v>90.59910966190661</v>
      </c>
      <c r="BL33" s="48">
        <v>84.418786252544436</v>
      </c>
      <c r="BM33" s="48">
        <v>78.452737540091022</v>
      </c>
      <c r="BN33" s="48">
        <v>72.704452024042425</v>
      </c>
      <c r="BO33" s="48">
        <v>67.177220231573415</v>
      </c>
      <c r="BP33" s="48">
        <v>61.874101126870656</v>
      </c>
      <c r="BQ33" s="48">
        <v>56.797885405514108</v>
      </c>
      <c r="BR33" s="48">
        <v>51.951055554635559</v>
      </c>
      <c r="BS33" s="48">
        <v>47.335742597561833</v>
      </c>
      <c r="BT33" s="48">
        <v>42.953679494266439</v>
      </c>
      <c r="BU33" s="48">
        <v>38.806151239619297</v>
      </c>
      <c r="BV33" s="48">
        <v>34.893941794095817</v>
      </c>
      <c r="BW33" s="48">
        <v>31.217278100771615</v>
      </c>
      <c r="BX33" s="48">
        <v>27.775771593047093</v>
      </c>
      <c r="BY33" s="48">
        <v>24.568357784916039</v>
      </c>
      <c r="BZ33" s="48">
        <v>21.593234765075227</v>
      </c>
      <c r="CA33" s="48">
        <v>18.847801692769849</v>
      </c>
      <c r="CB33" s="48">
        <v>16.328598720930753</v>
      </c>
      <c r="CC33" s="48">
        <v>14.031250152784178</v>
      </c>
      <c r="CD33" s="48">
        <v>11.950413070113251</v>
      </c>
      <c r="CE33" s="48">
        <v>10.07973414768548</v>
      </c>
      <c r="CF33" s="48">
        <v>8.4118178739544227</v>
      </c>
      <c r="CG33" s="48">
        <v>6.9382099066119318</v>
      </c>
      <c r="CH33" s="48">
        <v>5.6493997613514511</v>
      </c>
      <c r="CI33" s="48">
        <v>4.534847402200211</v>
      </c>
      <c r="CJ33" s="48">
        <v>3.5830384876244659</v>
      </c>
      <c r="CK33" s="48">
        <v>2.7815729169104371</v>
      </c>
      <c r="CL33" s="48">
        <v>2.1172907796207818</v>
      </c>
      <c r="CM33" s="48">
        <v>1.5764386788456863</v>
      </c>
      <c r="CN33" s="48">
        <v>1.1448775144131675</v>
      </c>
      <c r="CO33" s="48">
        <v>0.80833003547140414</v>
      </c>
      <c r="CP33" s="48">
        <v>0.55266273398973897</v>
      </c>
      <c r="CQ33" s="48">
        <v>0.36419201964214981</v>
      </c>
      <c r="CR33" s="48">
        <v>0.22999938090783498</v>
      </c>
      <c r="CS33" s="48">
        <v>0.13823499324390365</v>
      </c>
      <c r="CT33" s="48">
        <v>7.8384946204223344E-2</v>
      </c>
      <c r="CU33" s="48">
        <v>4.1475239352675906E-2</v>
      </c>
      <c r="CV33" s="48">
        <v>2.0187437153884116E-2</v>
      </c>
      <c r="CW33" s="48">
        <v>8.8676765727765169E-3</v>
      </c>
      <c r="CX33" s="48">
        <v>3.4230849843503294E-3</v>
      </c>
      <c r="CY33" s="48">
        <v>1.116545652272236E-3</v>
      </c>
      <c r="CZ33" s="48">
        <v>2.8899013858727445E-4</v>
      </c>
      <c r="DA33" s="48">
        <v>5.2849081730232833E-5</v>
      </c>
      <c r="DB33" s="48">
        <v>5.1307847236270278E-6</v>
      </c>
      <c r="DC33" s="49">
        <f t="shared" si="9"/>
        <v>0</v>
      </c>
      <c r="DD33" s="5">
        <f t="shared" si="10"/>
        <v>57</v>
      </c>
      <c r="DE33" s="30" cm="1">
        <f t="array" ref="DE33">1/2*(rf-q)*DD33*dt-1/2*(sigma^2)*(DD33^2)*dt</f>
        <v>-2.4598901650684928</v>
      </c>
      <c r="DF33" s="25">
        <f t="shared" si="4"/>
        <v>5.9352258095890402</v>
      </c>
      <c r="DG33" s="6">
        <f t="shared" si="5"/>
        <v>-2.4750693431506843</v>
      </c>
      <c r="DH33" s="25">
        <f t="shared" si="6"/>
        <v>147.29343109958734</v>
      </c>
      <c r="DI33">
        <v>155.225673685109</v>
      </c>
      <c r="DJ33" s="27">
        <f t="shared" si="7"/>
        <v>155.225673685109</v>
      </c>
    </row>
    <row r="34" spans="4:114" x14ac:dyDescent="0.25">
      <c r="V34" s="15">
        <f>U35/$C$14</f>
        <v>68378.060129247795</v>
      </c>
      <c r="W34" s="16">
        <f>MAX((X33*$C$15+X35*(1-$C$15))*EXP(-$C$9*$C$13),$C$8-W33)</f>
        <v>5.2983524705365266</v>
      </c>
      <c r="X34" s="15">
        <f>W35/$C$14</f>
        <v>68378.060129247795</v>
      </c>
      <c r="Y34" s="16">
        <f>MAX((Z33*$C$15+Z35*(1-$C$15))*EXP(-$C$9*$C$13),$C$8-Y33)</f>
        <v>3.4802229226306376</v>
      </c>
      <c r="Z34" s="15">
        <f>Y35/$C$14</f>
        <v>68378.060129247795</v>
      </c>
      <c r="AA34" s="16">
        <f>MAX((AB33*$C$15+AB35*(1-$C$15))*EXP(-$C$9*$C$13),$C$8-AA33)</f>
        <v>2.1369345726104525</v>
      </c>
      <c r="AB34" s="15">
        <f>AA35/$C$14</f>
        <v>68378.060129247795</v>
      </c>
      <c r="AC34" s="16">
        <f>MAX((AD33*$C$15+AD35*(1-$C$15))*EXP(-$C$9*$C$13),$C$8-AC33)</f>
        <v>1.2009783992466592</v>
      </c>
      <c r="AD34" s="15">
        <f>AC35/$C$14</f>
        <v>68378.060129247795</v>
      </c>
      <c r="AE34" s="16">
        <f>MAX((AF33*$C$15+AF35*(1-$C$15))*EXP(-$C$9*$C$13),$C$8-AE33)</f>
        <v>0.59798781900201181</v>
      </c>
      <c r="AF34" s="15">
        <f>AE35/$C$14</f>
        <v>68378.060129247795</v>
      </c>
      <c r="AG34" s="16">
        <f>MAX((AH33*$C$15+AH35*(1-$C$15))*EXP(-$C$9*$C$13),$C$8-AG33)</f>
        <v>0.24971876577780977</v>
      </c>
      <c r="AH34" s="15">
        <f>AG35/$C$14</f>
        <v>68378.060129247795</v>
      </c>
      <c r="AI34" s="16">
        <f>MAX((AJ33*$C$15+AJ35*(1-$C$15))*EXP(-$C$9*$C$13),$C$8-AI33)</f>
        <v>7.864794067239407E-2</v>
      </c>
      <c r="AJ34" s="15">
        <f>AI35/$C$14</f>
        <v>68378.060129247795</v>
      </c>
      <c r="AK34" s="16">
        <f>MAX((AL33*$C$15+AL35*(1-$C$15))*EXP(-$C$9*$C$13),$C$8-AK33)</f>
        <v>1.4208414302738901E-2</v>
      </c>
      <c r="AL34" s="15">
        <f>AK35/$C$14</f>
        <v>68378.060129247795</v>
      </c>
      <c r="AM34" s="16">
        <f>MAX((AN33*$C$15+AN35*(1-$C$15))*EXP(-$C$9*$C$13),$C$8-AM33)</f>
        <v>0</v>
      </c>
      <c r="AN34" s="15">
        <f>AM35/$C$14</f>
        <v>68378.060129247795</v>
      </c>
      <c r="AO34" s="16">
        <f>MAX((AP33*$C$15+AP35*(1-$C$15))*EXP(-$C$9*$C$13),$C$8-AO33)</f>
        <v>0</v>
      </c>
      <c r="AP34" s="15">
        <f>AO35/$C$14</f>
        <v>68378.060129247795</v>
      </c>
      <c r="AQ34" s="16">
        <f>MAX((AR33*$C$15+AR35*(1-$C$15))*EXP(-$C$9*$C$13),$C$8-AQ33)</f>
        <v>0</v>
      </c>
      <c r="AR34" s="15">
        <f>AQ35/$C$14</f>
        <v>68378.060129247795</v>
      </c>
      <c r="AS34" s="16">
        <f>MAX((AT33*$C$15+AT35*(1-$C$15))*EXP(-$C$9*$C$13),$C$8-AS33)</f>
        <v>0</v>
      </c>
      <c r="AT34" s="15">
        <f>AS35/$C$14</f>
        <v>68378.060129247795</v>
      </c>
      <c r="AU34" s="16">
        <f>MAX((AV33*$C$15+AV35*(1-$C$15))*EXP(-$C$9*$C$13),$C$8-AU33)</f>
        <v>0</v>
      </c>
      <c r="AV34" s="15">
        <f>AU35/$C$14</f>
        <v>68378.060129247795</v>
      </c>
      <c r="AW34" s="16">
        <f>MAX((AX33*$C$15+AX35*(1-$C$15))*EXP(-$C$9*$C$13),$C$8-AW33)</f>
        <v>0</v>
      </c>
      <c r="AX34" s="15">
        <f>AW35/$C$14</f>
        <v>68378.060129247795</v>
      </c>
      <c r="AY34" s="16">
        <f>MAX((AZ33*$C$15+AZ35*(1-$C$15))*EXP(-$C$9*$C$13),$C$8-AY33)</f>
        <v>0</v>
      </c>
      <c r="AZ34" s="15">
        <f>AY35/$C$14</f>
        <v>68378.060129247795</v>
      </c>
      <c r="BA34" s="16">
        <f>MAX((BB33*$C$15+BB35*(1-$C$15))*EXP(-$C$9*$C$13),$C$8-BA33)</f>
        <v>0</v>
      </c>
      <c r="BB34" s="15">
        <f>BA35/$C$14</f>
        <v>68378.060129247795</v>
      </c>
      <c r="BD34" s="55">
        <f t="shared" si="8"/>
        <v>63287.466666666733</v>
      </c>
      <c r="BE34" s="48">
        <v>153.98316385603829</v>
      </c>
      <c r="BF34" s="48">
        <v>145.71245105667063</v>
      </c>
      <c r="BG34" s="48">
        <v>137.63647155677634</v>
      </c>
      <c r="BH34" s="48">
        <v>129.76012510661084</v>
      </c>
      <c r="BI34" s="48">
        <v>122.08830515246453</v>
      </c>
      <c r="BJ34" s="48">
        <v>114.62588197539104</v>
      </c>
      <c r="BK34" s="48">
        <v>107.37768355574269</v>
      </c>
      <c r="BL34" s="48">
        <v>100.34847393827179</v>
      </c>
      <c r="BM34" s="48">
        <v>93.542928859544205</v>
      </c>
      <c r="BN34" s="48">
        <v>86.965608388192379</v>
      </c>
      <c r="BO34" s="48">
        <v>80.620926320088344</v>
      </c>
      <c r="BP34" s="48">
        <v>74.513116066136277</v>
      </c>
      <c r="BQ34" s="48">
        <v>68.64619277169821</v>
      </c>
      <c r="BR34" s="48">
        <v>63.023911415727959</v>
      </c>
      <c r="BS34" s="48">
        <v>57.649720657089553</v>
      </c>
      <c r="BT34" s="48">
        <v>52.526712228448758</v>
      </c>
      <c r="BU34" s="48">
        <v>47.657565728478815</v>
      </c>
      <c r="BV34" s="48">
        <v>43.044488735632591</v>
      </c>
      <c r="BW34" s="48">
        <v>38.689152267066774</v>
      </c>
      <c r="BX34" s="48">
        <v>34.592621741079896</v>
      </c>
      <c r="BY34" s="48">
        <v>30.755283778264381</v>
      </c>
      <c r="BZ34" s="48">
        <v>27.176769403970383</v>
      </c>
      <c r="CA34" s="48">
        <v>23.855874501775546</v>
      </c>
      <c r="CB34" s="48">
        <v>20.790478723731173</v>
      </c>
      <c r="CC34" s="48">
        <v>17.977464496803357</v>
      </c>
      <c r="CD34" s="48">
        <v>15.412638282703663</v>
      </c>
      <c r="CE34" s="48">
        <v>13.090656852724468</v>
      </c>
      <c r="CF34" s="48">
        <v>11.004962025825677</v>
      </c>
      <c r="CG34" s="48">
        <v>9.147728071679337</v>
      </c>
      <c r="CH34" s="48">
        <v>7.5098267690527578</v>
      </c>
      <c r="CI34" s="48">
        <v>6.0808158793037412</v>
      </c>
      <c r="CJ34" s="48">
        <v>4.8489574601476386</v>
      </c>
      <c r="CK34" s="48">
        <v>3.8012728821844304</v>
      </c>
      <c r="CL34" s="48">
        <v>2.9236414526762302</v>
      </c>
      <c r="CM34" s="48">
        <v>2.2009489802453217</v>
      </c>
      <c r="CN34" s="48">
        <v>1.6172911751559003</v>
      </c>
      <c r="CO34" s="48">
        <v>1.1562341964581981</v>
      </c>
      <c r="CP34" s="48">
        <v>0.80113068234182383</v>
      </c>
      <c r="CQ34" s="48">
        <v>0.53548409317352497</v>
      </c>
      <c r="CR34" s="48">
        <v>0.34334724241174314</v>
      </c>
      <c r="CS34" s="48">
        <v>0.20973294924449393</v>
      </c>
      <c r="CT34" s="48">
        <v>0.12100681298616313</v>
      </c>
      <c r="CU34" s="48">
        <v>6.5225818036337077E-2</v>
      </c>
      <c r="CV34" s="48">
        <v>3.2384056776872783E-2</v>
      </c>
      <c r="CW34" s="48">
        <v>1.4530786437290558E-2</v>
      </c>
      <c r="CX34" s="48">
        <v>5.7382941197696748E-3</v>
      </c>
      <c r="CY34" s="48">
        <v>1.9179364701054089E-3</v>
      </c>
      <c r="CZ34" s="48">
        <v>5.09558230473397E-4</v>
      </c>
      <c r="DA34" s="48">
        <v>9.5833960263148202E-5</v>
      </c>
      <c r="DB34" s="48">
        <v>9.5877619082914965E-6</v>
      </c>
      <c r="DC34" s="49">
        <f t="shared" si="9"/>
        <v>0</v>
      </c>
      <c r="DD34" s="5">
        <f t="shared" si="10"/>
        <v>56</v>
      </c>
      <c r="DE34" s="30" cm="1">
        <f t="array" ref="DE34">1/2*(rf-q)*DD34*dt-1/2*(sigma^2)*(DD34^2)*dt</f>
        <v>-2.374204536986301</v>
      </c>
      <c r="DF34" s="25">
        <f t="shared" si="4"/>
        <v>5.7635882520547934</v>
      </c>
      <c r="DG34" s="6">
        <f t="shared" si="5"/>
        <v>-2.3891174136986293</v>
      </c>
      <c r="DH34" s="25">
        <f t="shared" si="6"/>
        <v>171.08924575577868</v>
      </c>
      <c r="DI34">
        <v>179.91490787138656</v>
      </c>
      <c r="DJ34" s="27">
        <f t="shared" si="7"/>
        <v>179.91490787138656</v>
      </c>
    </row>
    <row r="35" spans="4:114" x14ac:dyDescent="0.25">
      <c r="U35" s="15">
        <f>T36/$C$14</f>
        <v>65764.405118317736</v>
      </c>
      <c r="V35" s="16">
        <f>MAX((W34*$C$15+W36*(1-$C$15))*EXP(-$C$9*$C$13),$C$8-V34)</f>
        <v>11.79037879398699</v>
      </c>
      <c r="W35" s="15">
        <f>V36/$C$14</f>
        <v>65764.405118317736</v>
      </c>
      <c r="X35" s="16">
        <f>MAX((Y34*$C$15+Y36*(1-$C$15))*EXP(-$C$9*$C$13),$C$8-X34)</f>
        <v>8.3248488521551867</v>
      </c>
      <c r="Y35" s="15">
        <f>X36/$C$14</f>
        <v>65764.405118317736</v>
      </c>
      <c r="Z35" s="16">
        <f>MAX((AA34*$C$15+AA36*(1-$C$15))*EXP(-$C$9*$C$13),$C$8-Z34)</f>
        <v>5.5863534801492261</v>
      </c>
      <c r="AA35" s="15">
        <f>Z36/$C$14</f>
        <v>65764.405118317736</v>
      </c>
      <c r="AB35" s="16">
        <f>MAX((AC34*$C$15+AC36*(1-$C$15))*EXP(-$C$9*$C$13),$C$8-AB34)</f>
        <v>3.5128121365110117</v>
      </c>
      <c r="AC35" s="15">
        <f>AB36/$C$14</f>
        <v>65764.405118317736</v>
      </c>
      <c r="AD35" s="16">
        <f>MAX((AE34*$C$15+AE36*(1-$C$15))*EXP(-$C$9*$C$13),$C$8-AD34)</f>
        <v>2.0276655714347069</v>
      </c>
      <c r="AE35" s="15">
        <f>AD36/$C$14</f>
        <v>65764.405118317736</v>
      </c>
      <c r="AF35" s="16">
        <f>MAX((AG34*$C$15+AG36*(1-$C$15))*EXP(-$C$9*$C$13),$C$8-AF34)</f>
        <v>1.0405398436168307</v>
      </c>
      <c r="AG35" s="15">
        <f>AF36/$C$14</f>
        <v>65764.405118317736</v>
      </c>
      <c r="AH35" s="16">
        <f>MAX((AI34*$C$15+AI36*(1-$C$15))*EXP(-$C$9*$C$13),$C$8-AH34)</f>
        <v>0.44973595566474578</v>
      </c>
      <c r="AI35" s="15">
        <f>AH36/$C$14</f>
        <v>65764.405118317736</v>
      </c>
      <c r="AJ35" s="16">
        <f>MAX((AK34*$C$15+AK36*(1-$C$15))*EXP(-$C$9*$C$13),$C$8-AJ34)</f>
        <v>0.14736683484450203</v>
      </c>
      <c r="AK35" s="15">
        <f>AJ36/$C$14</f>
        <v>65764.405118317736</v>
      </c>
      <c r="AL35" s="16">
        <f>MAX((AM34*$C$15+AM36*(1-$C$15))*EXP(-$C$9*$C$13),$C$8-AL34)</f>
        <v>2.788115578837189E-2</v>
      </c>
      <c r="AM35" s="15">
        <f>AL36/$C$14</f>
        <v>65764.405118317736</v>
      </c>
      <c r="AN35" s="16">
        <f>MAX((AO34*$C$15+AO36*(1-$C$15))*EXP(-$C$9*$C$13),$C$8-AN34)</f>
        <v>0</v>
      </c>
      <c r="AO35" s="15">
        <f>AN36/$C$14</f>
        <v>65764.405118317736</v>
      </c>
      <c r="AP35" s="16">
        <f>MAX((AQ34*$C$15+AQ36*(1-$C$15))*EXP(-$C$9*$C$13),$C$8-AP34)</f>
        <v>0</v>
      </c>
      <c r="AQ35" s="15">
        <f>AP36/$C$14</f>
        <v>65764.405118317736</v>
      </c>
      <c r="AR35" s="16">
        <f>MAX((AS34*$C$15+AS36*(1-$C$15))*EXP(-$C$9*$C$13),$C$8-AR34)</f>
        <v>0</v>
      </c>
      <c r="AS35" s="15">
        <f>AR36/$C$14</f>
        <v>65764.405118317736</v>
      </c>
      <c r="AT35" s="16">
        <f>MAX((AU34*$C$15+AU36*(1-$C$15))*EXP(-$C$9*$C$13),$C$8-AT34)</f>
        <v>0</v>
      </c>
      <c r="AU35" s="15">
        <f>AT36/$C$14</f>
        <v>65764.405118317736</v>
      </c>
      <c r="AV35" s="16">
        <f>MAX((AW34*$C$15+AW36*(1-$C$15))*EXP(-$C$9*$C$13),$C$8-AV34)</f>
        <v>0</v>
      </c>
      <c r="AW35" s="15">
        <f>AV36/$C$14</f>
        <v>65764.405118317736</v>
      </c>
      <c r="AX35" s="16">
        <f>MAX((AY34*$C$15+AY36*(1-$C$15))*EXP(-$C$9*$C$13),$C$8-AX34)</f>
        <v>0</v>
      </c>
      <c r="AY35" s="15">
        <f>AX36/$C$14</f>
        <v>65764.405118317736</v>
      </c>
      <c r="AZ35" s="16">
        <f>MAX((BA34*$C$15+BA36*(1-$C$15))*EXP(-$C$9*$C$13),$C$8-AZ34)</f>
        <v>0</v>
      </c>
      <c r="BA35" s="15">
        <f>AZ36/$C$14</f>
        <v>65764.405118317736</v>
      </c>
      <c r="BB35" s="16">
        <f>MAX(0,$C$8-BB34)</f>
        <v>0</v>
      </c>
      <c r="BD35" s="55">
        <f t="shared" si="8"/>
        <v>62157.333333333401</v>
      </c>
      <c r="BE35" s="48">
        <v>179.63778909992584</v>
      </c>
      <c r="BF35" s="48">
        <v>170.39299876965262</v>
      </c>
      <c r="BG35" s="48">
        <v>161.34494407607193</v>
      </c>
      <c r="BH35" s="48">
        <v>152.49930713903944</v>
      </c>
      <c r="BI35" s="48">
        <v>143.86181773373508</v>
      </c>
      <c r="BJ35" s="48">
        <v>135.43823886184029</v>
      </c>
      <c r="BK35" s="48">
        <v>127.2343499777356</v>
      </c>
      <c r="BL35" s="48">
        <v>119.2559275970732</v>
      </c>
      <c r="BM35" s="48">
        <v>111.508722991575</v>
      </c>
      <c r="BN35" s="48">
        <v>103.99843665040358</v>
      </c>
      <c r="BO35" s="48">
        <v>96.73068916569791</v>
      </c>
      <c r="BP35" s="48">
        <v>89.710988178936432</v>
      </c>
      <c r="BQ35" s="48">
        <v>82.944691007098058</v>
      </c>
      <c r="BR35" s="48">
        <v>76.436962555015185</v>
      </c>
      <c r="BS35" s="48">
        <v>70.192728115317919</v>
      </c>
      <c r="BT35" s="48">
        <v>64.216620663125667</v>
      </c>
      <c r="BU35" s="48">
        <v>58.512922273214038</v>
      </c>
      <c r="BV35" s="48">
        <v>53.085499327907364</v>
      </c>
      <c r="BW35" s="48">
        <v>47.937731250829934</v>
      </c>
      <c r="BX35" s="48">
        <v>43.072432602783827</v>
      </c>
      <c r="BY35" s="48">
        <v>38.491768520987918</v>
      </c>
      <c r="BZ35" s="48">
        <v>34.197163683091134</v>
      </c>
      <c r="CA35" s="48">
        <v>30.189205246012101</v>
      </c>
      <c r="CB35" s="48">
        <v>26.467540561696001</v>
      </c>
      <c r="CC35" s="48">
        <v>23.030770923496544</v>
      </c>
      <c r="CD35" s="48">
        <v>19.876343164548913</v>
      </c>
      <c r="CE35" s="48">
        <v>17.000441628249693</v>
      </c>
      <c r="CF35" s="48">
        <v>14.397883871696793</v>
      </c>
      <c r="CG35" s="48">
        <v>12.062024448184316</v>
      </c>
      <c r="CH35" s="48">
        <v>9.9846722326107962</v>
      </c>
      <c r="CI35" s="48">
        <v>8.1560279689598261</v>
      </c>
      <c r="CJ35" s="48">
        <v>6.5646499626841193</v>
      </c>
      <c r="CK35" s="48">
        <v>5.1974569960044112</v>
      </c>
      <c r="CL35" s="48">
        <v>4.0397784305351374</v>
      </c>
      <c r="CM35" s="48">
        <v>3.0754618221730401</v>
      </c>
      <c r="CN35" s="48">
        <v>2.2870478638331115</v>
      </c>
      <c r="CO35" s="48">
        <v>1.656020668821867</v>
      </c>
      <c r="CP35" s="48">
        <v>1.1631378389126852</v>
      </c>
      <c r="CQ35" s="48">
        <v>0.7888389820521774</v>
      </c>
      <c r="CR35" s="48">
        <v>0.51372307585946175</v>
      </c>
      <c r="CS35" s="48">
        <v>0.31907441336117781</v>
      </c>
      <c r="CT35" s="48">
        <v>0.18740457313648815</v>
      </c>
      <c r="CU35" s="48">
        <v>0.10296563814809351</v>
      </c>
      <c r="CV35" s="48">
        <v>5.2180603320049687E-2</v>
      </c>
      <c r="CW35" s="48">
        <v>2.3934439729462208E-2</v>
      </c>
      <c r="CX35" s="48">
        <v>9.6777997996690176E-3</v>
      </c>
      <c r="CY35" s="48">
        <v>3.3177761750240969E-3</v>
      </c>
      <c r="CZ35" s="48">
        <v>9.0582698175692422E-4</v>
      </c>
      <c r="DA35" s="48">
        <v>1.7542595396943274E-4</v>
      </c>
      <c r="DB35" s="48">
        <v>1.8112127984701195E-5</v>
      </c>
      <c r="DC35" s="49">
        <f t="shared" si="9"/>
        <v>0</v>
      </c>
      <c r="DD35" s="5">
        <f t="shared" si="10"/>
        <v>55</v>
      </c>
      <c r="DE35" s="30" cm="1">
        <f t="array" ref="DE35">1/2*(rf-q)*DD35*dt-1/2*(sigma^2)*(DD35^2)*dt</f>
        <v>-2.2900378253424654</v>
      </c>
      <c r="DF35" s="25">
        <f t="shared" si="4"/>
        <v>5.5949885273972599</v>
      </c>
      <c r="DG35" s="6">
        <f t="shared" si="5"/>
        <v>-2.304684400684931</v>
      </c>
      <c r="DH35" s="25">
        <f t="shared" si="6"/>
        <v>198.69515860147732</v>
      </c>
      <c r="DI35">
        <v>208.49671368053939</v>
      </c>
      <c r="DJ35" s="27">
        <f t="shared" si="7"/>
        <v>208.49671368053939</v>
      </c>
    </row>
    <row r="36" spans="4:114" x14ac:dyDescent="0.25">
      <c r="T36" s="15">
        <f>S37/$C$14</f>
        <v>63250.653387814884</v>
      </c>
      <c r="U36" s="16">
        <f>MAX((V35*$C$15+V37*(1-$C$15))*EXP(-$C$9*$C$13),$C$8-U35)</f>
        <v>24.09976168336043</v>
      </c>
      <c r="V36" s="15">
        <f>U37/$C$14</f>
        <v>63250.653387814884</v>
      </c>
      <c r="W36" s="16">
        <f>MAX((X35*$C$15+X37*(1-$C$15))*EXP(-$C$9*$C$13),$C$8-W35)</f>
        <v>18.040416951876761</v>
      </c>
      <c r="X36" s="15">
        <f>W37/$C$14</f>
        <v>63250.653387814884</v>
      </c>
      <c r="Y36" s="16">
        <f>MAX((Z35*$C$15+Z37*(1-$C$15))*EXP(-$C$9*$C$13),$C$8-Y35)</f>
        <v>12.988645458944386</v>
      </c>
      <c r="Z36" s="15">
        <f>Y37/$C$14</f>
        <v>63250.653387814884</v>
      </c>
      <c r="AA36" s="16">
        <f>MAX((AB35*$C$15+AB37*(1-$C$15))*EXP(-$C$9*$C$13),$C$8-AA35)</f>
        <v>8.9068420421501262</v>
      </c>
      <c r="AB36" s="15">
        <f>AA37/$C$14</f>
        <v>63250.653387814884</v>
      </c>
      <c r="AC36" s="16">
        <f>MAX((AD35*$C$15+AD37*(1-$C$15))*EXP(-$C$9*$C$13),$C$8-AC35)</f>
        <v>5.7381147071482692</v>
      </c>
      <c r="AD36" s="15">
        <f>AC37/$C$14</f>
        <v>63250.653387814884</v>
      </c>
      <c r="AE36" s="16">
        <f>MAX((AF35*$C$15+AF37*(1-$C$15))*EXP(-$C$9*$C$13),$C$8-AE35)</f>
        <v>3.4037553477472446</v>
      </c>
      <c r="AF36" s="15">
        <f>AE37/$C$14</f>
        <v>63250.653387814884</v>
      </c>
      <c r="AG36" s="16">
        <f>MAX((AH35*$C$15+AH37*(1-$C$15))*EXP(-$C$9*$C$13),$C$8-AG35)</f>
        <v>1.8016765750488384</v>
      </c>
      <c r="AH36" s="15">
        <f>AG37/$C$14</f>
        <v>63250.653387814884</v>
      </c>
      <c r="AI36" s="16">
        <f>MAX((AJ35*$C$15+AJ37*(1-$C$15))*EXP(-$C$9*$C$13),$C$8-AI35)</f>
        <v>0.80687463813722216</v>
      </c>
      <c r="AJ36" s="15">
        <f>AI37/$C$14</f>
        <v>63250.653387814884</v>
      </c>
      <c r="AK36" s="16">
        <f>MAX((AL35*$C$15+AL37*(1-$C$15))*EXP(-$C$9*$C$13),$C$8-AK35)</f>
        <v>0.2755124605529583</v>
      </c>
      <c r="AL36" s="15">
        <f>AK37/$C$14</f>
        <v>63250.653387814884</v>
      </c>
      <c r="AM36" s="16">
        <f>MAX((AN35*$C$15+AN37*(1-$C$15))*EXP(-$C$9*$C$13),$C$8-AM35)</f>
        <v>5.471116139579453E-2</v>
      </c>
      <c r="AN36" s="15">
        <f>AM37/$C$14</f>
        <v>63250.653387814884</v>
      </c>
      <c r="AO36" s="16">
        <f>MAX((AP35*$C$15+AP37*(1-$C$15))*EXP(-$C$9*$C$13),$C$8-AO35)</f>
        <v>0</v>
      </c>
      <c r="AP36" s="15">
        <f>AO37/$C$14</f>
        <v>63250.653387814884</v>
      </c>
      <c r="AQ36" s="16">
        <f>MAX((AR35*$C$15+AR37*(1-$C$15))*EXP(-$C$9*$C$13),$C$8-AQ35)</f>
        <v>0</v>
      </c>
      <c r="AR36" s="15">
        <f>AQ37/$C$14</f>
        <v>63250.653387814884</v>
      </c>
      <c r="AS36" s="16">
        <f>MAX((AT35*$C$15+AT37*(1-$C$15))*EXP(-$C$9*$C$13),$C$8-AS35)</f>
        <v>0</v>
      </c>
      <c r="AT36" s="15">
        <f>AS37/$C$14</f>
        <v>63250.653387814884</v>
      </c>
      <c r="AU36" s="16">
        <f>MAX((AV35*$C$15+AV37*(1-$C$15))*EXP(-$C$9*$C$13),$C$8-AU35)</f>
        <v>0</v>
      </c>
      <c r="AV36" s="15">
        <f>AU37/$C$14</f>
        <v>63250.653387814884</v>
      </c>
      <c r="AW36" s="16">
        <f>MAX((AX35*$C$15+AX37*(1-$C$15))*EXP(-$C$9*$C$13),$C$8-AW35)</f>
        <v>0</v>
      </c>
      <c r="AX36" s="15">
        <f>AW37/$C$14</f>
        <v>63250.653387814884</v>
      </c>
      <c r="AY36" s="16">
        <f>MAX((AZ35*$C$15+AZ37*(1-$C$15))*EXP(-$C$9*$C$13),$C$8-AY35)</f>
        <v>0</v>
      </c>
      <c r="AZ36" s="15">
        <f>AY37/$C$14</f>
        <v>63250.653387814884</v>
      </c>
      <c r="BA36" s="16">
        <f>MAX((BB35*$C$15+BB37*(1-$C$15))*EXP(-$C$9*$C$13),$C$8-BA35)</f>
        <v>0</v>
      </c>
      <c r="BB36" s="15">
        <f>BA37/$C$14</f>
        <v>63250.653387814884</v>
      </c>
      <c r="BD36" s="55">
        <f t="shared" si="8"/>
        <v>61027.20000000007</v>
      </c>
      <c r="BE36" s="48">
        <v>209.51434483513381</v>
      </c>
      <c r="BF36" s="48">
        <v>199.20226260229478</v>
      </c>
      <c r="BG36" s="48">
        <v>189.08647279358604</v>
      </c>
      <c r="BH36" s="48">
        <v>179.17342475324091</v>
      </c>
      <c r="BI36" s="48">
        <v>169.46967609145167</v>
      </c>
      <c r="BJ36" s="48">
        <v>159.9818817258662</v>
      </c>
      <c r="BK36" s="48">
        <v>150.71678062565206</v>
      </c>
      <c r="BL36" s="48">
        <v>141.68117994800241</v>
      </c>
      <c r="BM36" s="48">
        <v>132.88193622290146</v>
      </c>
      <c r="BN36" s="48">
        <v>124.32593320576508</v>
      </c>
      <c r="BO36" s="48">
        <v>116.02005597962024</v>
      </c>
      <c r="BP36" s="48">
        <v>107.97116084948493</v>
      </c>
      <c r="BQ36" s="48">
        <v>100.18604053255723</v>
      </c>
      <c r="BR36" s="48">
        <v>92.671384110153568</v>
      </c>
      <c r="BS36" s="48">
        <v>85.433731173099957</v>
      </c>
      <c r="BT36" s="48">
        <v>78.479419564229573</v>
      </c>
      <c r="BU36" s="48">
        <v>71.814526103541681</v>
      </c>
      <c r="BV36" s="48">
        <v>65.444799678392755</v>
      </c>
      <c r="BW36" s="48">
        <v>59.375586099360412</v>
      </c>
      <c r="BX36" s="48">
        <v>53.61174417057569</v>
      </c>
      <c r="BY36" s="48">
        <v>48.157552512109497</v>
      </c>
      <c r="BZ36" s="48">
        <v>43.016606814919726</v>
      </c>
      <c r="CA36" s="48">
        <v>38.191707422539075</v>
      </c>
      <c r="CB36" s="48">
        <v>33.684737438215407</v>
      </c>
      <c r="CC36" s="48">
        <v>29.496531975300897</v>
      </c>
      <c r="CD36" s="48">
        <v>25.626739729363802</v>
      </c>
      <c r="CE36" s="48">
        <v>22.073678782261133</v>
      </c>
      <c r="CF36" s="48">
        <v>18.834189481232901</v>
      </c>
      <c r="CG36" s="48">
        <v>15.903488396832945</v>
      </c>
      <c r="CH36" s="48">
        <v>13.275028770012273</v>
      </c>
      <c r="CI36" s="48">
        <v>10.94037451042637</v>
      </c>
      <c r="CJ36" s="48">
        <v>8.8890966726912222</v>
      </c>
      <c r="CK36" s="48">
        <v>7.1087033319994708</v>
      </c>
      <c r="CL36" s="48">
        <v>5.5846157470304725</v>
      </c>
      <c r="CM36" s="48">
        <v>4.3002053753018572</v>
      </c>
      <c r="CN36" s="48">
        <v>3.2369072973983739</v>
      </c>
      <c r="CO36" s="48">
        <v>2.3744253601283996</v>
      </c>
      <c r="CP36" s="48">
        <v>1.6910421535710951</v>
      </c>
      <c r="CQ36" s="48">
        <v>1.1640419703195712</v>
      </c>
      <c r="CR36" s="48">
        <v>0.77024634667209324</v>
      </c>
      <c r="CS36" s="48">
        <v>0.48664910257058769</v>
      </c>
      <c r="CT36" s="48">
        <v>0.29112107969245343</v>
      </c>
      <c r="CU36" s="48">
        <v>0.16313531214807372</v>
      </c>
      <c r="CV36" s="48">
        <v>8.4444197627669262E-2</v>
      </c>
      <c r="CW36" s="48">
        <v>3.9626524088003948E-2</v>
      </c>
      <c r="CX36" s="48">
        <v>1.6420884099720312E-2</v>
      </c>
      <c r="CY36" s="48">
        <v>5.7801902776721684E-3</v>
      </c>
      <c r="CZ36" s="48">
        <v>1.6236826546419906E-3</v>
      </c>
      <c r="DA36" s="48">
        <v>3.2424225229749201E-4</v>
      </c>
      <c r="DB36" s="48">
        <v>3.4602208672958306E-5</v>
      </c>
      <c r="DC36" s="49">
        <f t="shared" si="9"/>
        <v>0</v>
      </c>
      <c r="DD36" s="5">
        <f t="shared" si="10"/>
        <v>54</v>
      </c>
      <c r="DE36" s="30" cm="1">
        <f t="array" ref="DE36">1/2*(rf-q)*DD36*dt-1/2*(sigma^2)*(DD36^2)*dt</f>
        <v>-2.207390030136986</v>
      </c>
      <c r="DF36" s="25">
        <f t="shared" ref="DF36:DF65" si="11">1+(sigma^2)*(DD36^2)*dt+rf*dt</f>
        <v>5.429426635616438</v>
      </c>
      <c r="DG36" s="6">
        <f t="shared" ref="DG36:DG65" si="12">-0.5*dt*((rf-q)*DD36+sigma^2*DD36^2)</f>
        <v>-2.2217703041095889</v>
      </c>
      <c r="DH36" s="25">
        <f t="shared" ref="DH36:DH67" si="13">DE36*DI37+DF36*DI36+DG36*DI35-DC36</f>
        <v>230.70218239353972</v>
      </c>
      <c r="DI36">
        <v>241.56565219030512</v>
      </c>
      <c r="DJ36" s="27">
        <f t="shared" si="7"/>
        <v>241.56565219030512</v>
      </c>
    </row>
    <row r="37" spans="4:114" x14ac:dyDescent="0.25">
      <c r="S37" s="15">
        <f>R38/$C$14</f>
        <v>60832.98627559813</v>
      </c>
      <c r="T37" s="16">
        <f>MAX((U36*$C$15+U38*(1-$C$15))*EXP(-$C$9*$C$13),$C$8-T36)</f>
        <v>45.781617119230837</v>
      </c>
      <c r="U37" s="15">
        <f>T38/$C$14</f>
        <v>60832.98627559813</v>
      </c>
      <c r="V37" s="16">
        <f>MAX((W36*$C$15+W38*(1-$C$15))*EXP(-$C$9*$C$13),$C$8-V36)</f>
        <v>35.951227718723985</v>
      </c>
      <c r="W37" s="15">
        <f>V38/$C$14</f>
        <v>60832.98627559813</v>
      </c>
      <c r="X37" s="16">
        <f>MAX((Y36*$C$15+Y38*(1-$C$15))*EXP(-$C$9*$C$13),$C$8-X36)</f>
        <v>27.394047146410909</v>
      </c>
      <c r="Y37" s="15">
        <f>X38/$C$14</f>
        <v>60832.98627559813</v>
      </c>
      <c r="Z37" s="16">
        <f>MAX((AA36*$C$15+AA38*(1-$C$15))*EXP(-$C$9*$C$13),$C$8-Z36)</f>
        <v>20.11478173629088</v>
      </c>
      <c r="AA37" s="15">
        <f>Z38/$C$14</f>
        <v>60832.98627559813</v>
      </c>
      <c r="AB37" s="16">
        <f>MAX((AC36*$C$15+AC38*(1-$C$15))*EXP(-$C$9*$C$13),$C$8-AB36)</f>
        <v>14.099346519669036</v>
      </c>
      <c r="AC37" s="15">
        <f>AB38/$C$14</f>
        <v>60832.98627559813</v>
      </c>
      <c r="AD37" s="16">
        <f>MAX((AE36*$C$15+AE38*(1-$C$15))*EXP(-$C$9*$C$13),$C$8-AD36)</f>
        <v>9.3097352788423482</v>
      </c>
      <c r="AE37" s="15">
        <f>AD38/$C$14</f>
        <v>60832.98627559813</v>
      </c>
      <c r="AF37" s="16">
        <f>MAX((AG36*$C$15+AG38*(1-$C$15))*EXP(-$C$9*$C$13),$C$8-AF36)</f>
        <v>5.6784187081608337</v>
      </c>
      <c r="AG37" s="15">
        <f>AF38/$C$14</f>
        <v>60832.98627559813</v>
      </c>
      <c r="AH37" s="16">
        <f>MAX((AI36*$C$15+AI38*(1-$C$15))*EXP(-$C$9*$C$13),$C$8-AH36)</f>
        <v>3.1028825329608285</v>
      </c>
      <c r="AI37" s="15">
        <f>AH38/$C$14</f>
        <v>60832.98627559813</v>
      </c>
      <c r="AJ37" s="16">
        <f>MAX((AK36*$C$15+AK38*(1-$C$15))*EXP(-$C$9*$C$13),$C$8-AJ36)</f>
        <v>1.4415952714286564</v>
      </c>
      <c r="AK37" s="15">
        <f>AJ38/$C$14</f>
        <v>60832.98627559813</v>
      </c>
      <c r="AL37" s="16">
        <f>MAX((AM36*$C$15+AM38*(1-$C$15))*EXP(-$C$9*$C$13),$C$8-AL36)</f>
        <v>0.51382236099753476</v>
      </c>
      <c r="AM37" s="15">
        <f>AL38/$C$14</f>
        <v>60832.98627559813</v>
      </c>
      <c r="AN37" s="16">
        <f>MAX((AO36*$C$15+AO38*(1-$C$15))*EXP(-$C$9*$C$13),$C$8-AN36)</f>
        <v>0.10735965194545728</v>
      </c>
      <c r="AO37" s="15">
        <f>AN38/$C$14</f>
        <v>60832.98627559813</v>
      </c>
      <c r="AP37" s="16">
        <f>MAX((AQ36*$C$15+AQ38*(1-$C$15))*EXP(-$C$9*$C$13),$C$8-AP36)</f>
        <v>0</v>
      </c>
      <c r="AQ37" s="15">
        <f>AP38/$C$14</f>
        <v>60832.98627559813</v>
      </c>
      <c r="AR37" s="16">
        <f>MAX((AS36*$C$15+AS38*(1-$C$15))*EXP(-$C$9*$C$13),$C$8-AR36)</f>
        <v>0</v>
      </c>
      <c r="AS37" s="15">
        <f>AR38/$C$14</f>
        <v>60832.98627559813</v>
      </c>
      <c r="AT37" s="16">
        <f>MAX((AU36*$C$15+AU38*(1-$C$15))*EXP(-$C$9*$C$13),$C$8-AT36)</f>
        <v>0</v>
      </c>
      <c r="AU37" s="15">
        <f>AT38/$C$14</f>
        <v>60832.98627559813</v>
      </c>
      <c r="AV37" s="16">
        <f>MAX((AW36*$C$15+AW38*(1-$C$15))*EXP(-$C$9*$C$13),$C$8-AV36)</f>
        <v>0</v>
      </c>
      <c r="AW37" s="15">
        <f>AV38/$C$14</f>
        <v>60832.98627559813</v>
      </c>
      <c r="AX37" s="16">
        <f>MAX((AY36*$C$15+AY38*(1-$C$15))*EXP(-$C$9*$C$13),$C$8-AX36)</f>
        <v>0</v>
      </c>
      <c r="AY37" s="15">
        <f>AX38/$C$14</f>
        <v>60832.98627559813</v>
      </c>
      <c r="AZ37" s="16">
        <f>MAX((BA36*$C$15+BA38*(1-$C$15))*EXP(-$C$9*$C$13),$C$8-AZ36)</f>
        <v>0</v>
      </c>
      <c r="BA37" s="15">
        <f>AZ38/$C$14</f>
        <v>60832.98627559813</v>
      </c>
      <c r="BB37" s="16">
        <f>MAX(0,$C$8-BB36)</f>
        <v>0</v>
      </c>
      <c r="BD37" s="55">
        <f t="shared" ref="BD37:BD68" si="14">BD36-ds</f>
        <v>59897.066666666738</v>
      </c>
      <c r="BE37" s="48">
        <v>244.28242816595832</v>
      </c>
      <c r="BF37" s="48">
        <v>232.80593186691431</v>
      </c>
      <c r="BG37" s="48">
        <v>221.5223838671742</v>
      </c>
      <c r="BH37" s="48">
        <v>210.43895746452154</v>
      </c>
      <c r="BI37" s="48">
        <v>199.56300020571123</v>
      </c>
      <c r="BJ37" s="48">
        <v>188.90202746036195</v>
      </c>
      <c r="BK37" s="48">
        <v>178.46371388549119</v>
      </c>
      <c r="BL37" s="48">
        <v>168.25588244823192</v>
      </c>
      <c r="BM37" s="48">
        <v>158.28649063056318</v>
      </c>
      <c r="BN37" s="48">
        <v>148.5636133916897</v>
      </c>
      <c r="BO37" s="48">
        <v>139.0954224109266</v>
      </c>
      <c r="BP37" s="48">
        <v>129.89016107678188</v>
      </c>
      <c r="BQ37" s="48">
        <v>120.95611462672716</v>
      </c>
      <c r="BR37" s="48">
        <v>112.30157477768279</v>
      </c>
      <c r="BS37" s="48">
        <v>103.93479812074908</v>
      </c>
      <c r="BT37" s="48">
        <v>95.863957487145612</v>
      </c>
      <c r="BU37" s="48">
        <v>88.097085428523471</v>
      </c>
      <c r="BV37" s="48">
        <v>80.642008897931916</v>
      </c>
      <c r="BW37" s="48">
        <v>73.506274173522186</v>
      </c>
      <c r="BX37" s="48">
        <v>66.697061043491757</v>
      </c>
      <c r="BY37" s="48">
        <v>60.221085278519666</v>
      </c>
      <c r="BZ37" s="48">
        <v>54.084488471187861</v>
      </c>
      <c r="CA37" s="48">
        <v>48.292714439103293</v>
      </c>
      <c r="CB37" s="48">
        <v>42.850371593292842</v>
      </c>
      <c r="CC37" s="48">
        <v>37.761080995685589</v>
      </c>
      <c r="CD37" s="48">
        <v>33.027310305712483</v>
      </c>
      <c r="CE37" s="48">
        <v>28.650194490050691</v>
      </c>
      <c r="CF37" s="48">
        <v>24.62934509190103</v>
      </c>
      <c r="CG37" s="48">
        <v>20.962651082408893</v>
      </c>
      <c r="CH37" s="48">
        <v>17.646075903021668</v>
      </c>
      <c r="CI37" s="48">
        <v>14.67345730238015</v>
      </c>
      <c r="CJ37" s="48">
        <v>12.036319002340154</v>
      </c>
      <c r="CK37" s="48">
        <v>9.7237060803801469</v>
      </c>
      <c r="CL37" s="48">
        <v>7.7220591406336849</v>
      </c>
      <c r="CM37" s="48">
        <v>6.0151456592089927</v>
      </c>
      <c r="CN37" s="48">
        <v>4.5840699519775905</v>
      </c>
      <c r="CO37" s="48">
        <v>3.4073854159549244</v>
      </c>
      <c r="CP37" s="48">
        <v>2.4613331382175088</v>
      </c>
      <c r="CQ37" s="48">
        <v>1.7202284394993024</v>
      </c>
      <c r="CR37" s="48">
        <v>1.1570099613969198</v>
      </c>
      <c r="CS37" s="48">
        <v>0.74395301291370197</v>
      </c>
      <c r="CT37" s="48">
        <v>0.45352896543273741</v>
      </c>
      <c r="CU37" s="48">
        <v>0.25936558848280539</v>
      </c>
      <c r="CV37" s="48">
        <v>0.13723163224086621</v>
      </c>
      <c r="CW37" s="48">
        <v>6.5938321654525234E-2</v>
      </c>
      <c r="CX37" s="48">
        <v>2.8030364450752555E-2</v>
      </c>
      <c r="CY37" s="48">
        <v>1.0142339827068195E-2</v>
      </c>
      <c r="CZ37" s="48">
        <v>2.935088055767524E-3</v>
      </c>
      <c r="DA37" s="48">
        <v>6.052809512603509E-4</v>
      </c>
      <c r="DB37" s="48">
        <v>6.6879510781479363E-5</v>
      </c>
      <c r="DC37" s="49">
        <f t="shared" ref="DC37:DC90" si="15">MAX(K-DD37*ds,0)</f>
        <v>0</v>
      </c>
      <c r="DD37" s="5">
        <f t="shared" si="10"/>
        <v>53</v>
      </c>
      <c r="DE37" s="30" cm="1">
        <f t="array" ref="DE37">1/2*(rf-q)*DD37*dt-1/2*(sigma^2)*(DD37^2)*dt</f>
        <v>-2.1262611513698628</v>
      </c>
      <c r="DF37" s="25">
        <f t="shared" si="11"/>
        <v>5.2669025767123285</v>
      </c>
      <c r="DG37" s="6">
        <f t="shared" si="12"/>
        <v>-2.1403751239726021</v>
      </c>
      <c r="DH37" s="25">
        <f t="shared" si="13"/>
        <v>267.786469816161</v>
      </c>
      <c r="DI37">
        <v>279.80057373928094</v>
      </c>
      <c r="DJ37" s="27">
        <f t="shared" ref="DJ37:DJ65" si="16">IF(DI37&lt;K-DD37*ds,K-DD37*ds,DI37)</f>
        <v>279.80057373928094</v>
      </c>
    </row>
    <row r="38" spans="4:114" x14ac:dyDescent="0.25">
      <c r="R38" s="15">
        <f>Q39/$C$14</f>
        <v>58507.731082506631</v>
      </c>
      <c r="S38" s="16">
        <f>MAX((T37*$C$15+T39*(1-$C$15))*EXP(-$C$9*$C$13),$C$8-S37)</f>
        <v>81.592628306861599</v>
      </c>
      <c r="T38" s="15">
        <f>S39/$C$14</f>
        <v>58507.731082506631</v>
      </c>
      <c r="U38" s="16">
        <f>MAX((V37*$C$15+V39*(1-$C$15))*EXP(-$C$9*$C$13),$C$8-U37)</f>
        <v>66.658634767295382</v>
      </c>
      <c r="V38" s="15">
        <f>U39/$C$14</f>
        <v>58507.731082506631</v>
      </c>
      <c r="W38" s="16">
        <f>MAX((X37*$C$15+X39*(1-$C$15))*EXP(-$C$9*$C$13),$C$8-W37)</f>
        <v>53.196207254513439</v>
      </c>
      <c r="X38" s="15">
        <f>W39/$C$14</f>
        <v>58507.731082506631</v>
      </c>
      <c r="Y38" s="16">
        <f>MAX((Z37*$C$15+Z39*(1-$C$15))*EXP(-$C$9*$C$13),$C$8-Y37)</f>
        <v>41.263135856504235</v>
      </c>
      <c r="Z38" s="15">
        <f>Y39/$C$14</f>
        <v>58507.731082506631</v>
      </c>
      <c r="AA38" s="16">
        <f>MAX((AB37*$C$15+AB39*(1-$C$15))*EXP(-$C$9*$C$13),$C$8-AA37)</f>
        <v>30.904823565369629</v>
      </c>
      <c r="AB38" s="15">
        <f>AA39/$C$14</f>
        <v>58507.731082506631</v>
      </c>
      <c r="AC38" s="16">
        <f>MAX((AD37*$C$15+AD39*(1-$C$15))*EXP(-$C$9*$C$13),$C$8-AC37)</f>
        <v>22.148348840518764</v>
      </c>
      <c r="AD38" s="15">
        <f>AC39/$C$14</f>
        <v>58507.731082506631</v>
      </c>
      <c r="AE38" s="16">
        <f>MAX((AF37*$C$15+AF39*(1-$C$15))*EXP(-$C$9*$C$13),$C$8-AE37)</f>
        <v>14.994831722399796</v>
      </c>
      <c r="AF38" s="15">
        <f>AE39/$C$14</f>
        <v>58507.731082506631</v>
      </c>
      <c r="AG38" s="16">
        <f>MAX((AH37*$C$15+AH39*(1-$C$15))*EXP(-$C$9*$C$13),$C$8-AG37)</f>
        <v>9.4099447709569297</v>
      </c>
      <c r="AH38" s="15">
        <f>AG39/$C$14</f>
        <v>58507.731082506631</v>
      </c>
      <c r="AI38" s="16">
        <f>MAX((AJ37*$C$15+AJ39*(1-$C$15))*EXP(-$C$9*$C$13),$C$8-AI37)</f>
        <v>5.3127499962113136</v>
      </c>
      <c r="AJ38" s="15">
        <f>AI39/$C$14</f>
        <v>58507.731082506631</v>
      </c>
      <c r="AK38" s="16">
        <f>MAX((AL37*$C$15+AL39*(1-$C$15))*EXP(-$C$9*$C$13),$C$8-AK37)</f>
        <v>2.5638594336353093</v>
      </c>
      <c r="AL38" s="15">
        <f>AK39/$C$14</f>
        <v>58507.731082506631</v>
      </c>
      <c r="AM38" s="16">
        <f>MAX((AN37*$C$15+AN39*(1-$C$15))*EXP(-$C$9*$C$13),$C$8-AM37)</f>
        <v>0.95565315058133116</v>
      </c>
      <c r="AN38" s="15">
        <f>AM39/$C$14</f>
        <v>58507.731082506631</v>
      </c>
      <c r="AO38" s="16">
        <f>MAX((AP37*$C$15+AP39*(1-$C$15))*EXP(-$C$9*$C$13),$C$8-AO37)</f>
        <v>0.21067172715393503</v>
      </c>
      <c r="AP38" s="15">
        <f>AO39/$C$14</f>
        <v>58507.731082506631</v>
      </c>
      <c r="AQ38" s="16">
        <f>MAX((AR37*$C$15+AR39*(1-$C$15))*EXP(-$C$9*$C$13),$C$8-AQ37)</f>
        <v>0</v>
      </c>
      <c r="AR38" s="15">
        <f>AQ39/$C$14</f>
        <v>58507.731082506631</v>
      </c>
      <c r="AS38" s="16">
        <f>MAX((AT37*$C$15+AT39*(1-$C$15))*EXP(-$C$9*$C$13),$C$8-AS37)</f>
        <v>0</v>
      </c>
      <c r="AT38" s="15">
        <f>AS39/$C$14</f>
        <v>58507.731082506631</v>
      </c>
      <c r="AU38" s="16">
        <f>MAX((AV37*$C$15+AV39*(1-$C$15))*EXP(-$C$9*$C$13),$C$8-AU37)</f>
        <v>0</v>
      </c>
      <c r="AV38" s="15">
        <f>AU39/$C$14</f>
        <v>58507.731082506631</v>
      </c>
      <c r="AW38" s="16">
        <f>MAX((AX37*$C$15+AX39*(1-$C$15))*EXP(-$C$9*$C$13),$C$8-AW37)</f>
        <v>0</v>
      </c>
      <c r="AX38" s="15">
        <f>AW39/$C$14</f>
        <v>58507.731082506631</v>
      </c>
      <c r="AY38" s="16">
        <f>MAX((AZ37*$C$15+AZ39*(1-$C$15))*EXP(-$C$9*$C$13),$C$8-AY37)</f>
        <v>0</v>
      </c>
      <c r="AZ38" s="15">
        <f>AY39/$C$14</f>
        <v>58507.731082506631</v>
      </c>
      <c r="BA38" s="16">
        <f>MAX((BB37*$C$15+BB39*(1-$C$15))*EXP(-$C$9*$C$13),$C$8-BA37)</f>
        <v>0</v>
      </c>
      <c r="BB38" s="15">
        <f>BA39/$C$14</f>
        <v>58507.731082506631</v>
      </c>
      <c r="BD38" s="55">
        <f t="shared" si="14"/>
        <v>58766.933333333407</v>
      </c>
      <c r="BE38" s="48">
        <v>284.70939531365104</v>
      </c>
      <c r="BF38" s="48">
        <v>271.96857294366941</v>
      </c>
      <c r="BG38" s="48">
        <v>259.41398304837759</v>
      </c>
      <c r="BH38" s="48">
        <v>247.05344663219449</v>
      </c>
      <c r="BI38" s="48">
        <v>234.89502841359479</v>
      </c>
      <c r="BJ38" s="48">
        <v>222.9470359527273</v>
      </c>
      <c r="BK38" s="48">
        <v>211.21801701509494</v>
      </c>
      <c r="BL38" s="48">
        <v>199.71675483686658</v>
      </c>
      <c r="BM38" s="48">
        <v>188.45226090607588</v>
      </c>
      <c r="BN38" s="48">
        <v>177.43376481583297</v>
      </c>
      <c r="BO38" s="48">
        <v>166.67070068004449</v>
      </c>
      <c r="BP38" s="48">
        <v>156.17268952855642</v>
      </c>
      <c r="BQ38" s="48">
        <v>145.9495170166916</v>
      </c>
      <c r="BR38" s="48">
        <v>136.01110569363757</v>
      </c>
      <c r="BS38" s="48">
        <v>126.36748097522033</v>
      </c>
      <c r="BT38" s="48">
        <v>117.02872985992791</v>
      </c>
      <c r="BU38" s="48">
        <v>108.00495131399749</v>
      </c>
      <c r="BV38" s="48">
        <v>99.306197134467595</v>
      </c>
      <c r="BW38" s="48">
        <v>90.942401982303835</v>
      </c>
      <c r="BX38" s="48">
        <v>82.923301167193401</v>
      </c>
      <c r="BY38" s="48">
        <v>75.258334670361108</v>
      </c>
      <c r="BZ38" s="48">
        <v>67.95653582465745</v>
      </c>
      <c r="CA38" s="48">
        <v>61.026403050093954</v>
      </c>
      <c r="CB38" s="48">
        <v>54.475753092334763</v>
      </c>
      <c r="CC38" s="48">
        <v>48.311554364041228</v>
      </c>
      <c r="CD38" s="48">
        <v>42.539739287200646</v>
      </c>
      <c r="CE38" s="48">
        <v>37.164995033688811</v>
      </c>
      <c r="CF38" s="48">
        <v>32.190532830358791</v>
      </c>
      <c r="CG38" s="48">
        <v>27.617837117929799</v>
      </c>
      <c r="CH38" s="48">
        <v>23.446397428028295</v>
      </c>
      <c r="CI38" s="48">
        <v>19.673427977947924</v>
      </c>
      <c r="CJ38" s="48">
        <v>16.293582785958925</v>
      </c>
      <c r="CK38" s="48">
        <v>13.298677669780776</v>
      </c>
      <c r="CL38" s="48">
        <v>10.677434843620668</v>
      </c>
      <c r="CM38" s="48">
        <v>8.4152709064250182</v>
      </c>
      <c r="CN38" s="48">
        <v>6.4941545675780077</v>
      </c>
      <c r="CO38" s="48">
        <v>4.8925659520800373</v>
      </c>
      <c r="CP38" s="48">
        <v>3.5855938224546153</v>
      </c>
      <c r="CQ38" s="48">
        <v>2.5452090676447896</v>
      </c>
      <c r="CR38" s="48">
        <v>1.7407502422554999</v>
      </c>
      <c r="CS38" s="48">
        <v>1.1396471409319648</v>
      </c>
      <c r="CT38" s="48">
        <v>0.70838851107451972</v>
      </c>
      <c r="CU38" s="48">
        <v>0.41370783149730889</v>
      </c>
      <c r="CV38" s="48">
        <v>0.22391654739692532</v>
      </c>
      <c r="CW38" s="48">
        <v>0.11026149128518563</v>
      </c>
      <c r="CX38" s="48">
        <v>4.813331940052621E-2</v>
      </c>
      <c r="CY38" s="48">
        <v>1.7924351507954253E-2</v>
      </c>
      <c r="CZ38" s="48">
        <v>5.3512956137564925E-3</v>
      </c>
      <c r="DA38" s="48">
        <v>1.1414760986594586E-3</v>
      </c>
      <c r="DB38" s="48">
        <v>1.3083350768817377E-4</v>
      </c>
      <c r="DC38" s="49">
        <f t="shared" si="15"/>
        <v>0</v>
      </c>
      <c r="DD38" s="5">
        <f t="shared" si="10"/>
        <v>52</v>
      </c>
      <c r="DE38" s="30" cm="1">
        <f t="array" ref="DE38">1/2*(rf-q)*DD38*dt-1/2*(sigma^2)*(DD38^2)*dt</f>
        <v>-2.0466511890410954</v>
      </c>
      <c r="DF38" s="25">
        <f t="shared" si="11"/>
        <v>5.1074163506849306</v>
      </c>
      <c r="DG38" s="6">
        <f t="shared" si="12"/>
        <v>-2.0604988602739724</v>
      </c>
      <c r="DH38" s="25">
        <f t="shared" si="13"/>
        <v>310.71966719210377</v>
      </c>
      <c r="DI38">
        <v>323.97468193344827</v>
      </c>
      <c r="DJ38" s="27">
        <f t="shared" si="16"/>
        <v>323.97468193344827</v>
      </c>
    </row>
    <row r="39" spans="4:114" x14ac:dyDescent="0.25">
      <c r="Q39" s="15">
        <f>P40/$C$14</f>
        <v>56271.355493130526</v>
      </c>
      <c r="R39" s="16">
        <f>MAX((S38*$C$15+S40*(1-$C$15))*EXP(-$C$9*$C$13),$C$8-R38)</f>
        <v>137.48037071683939</v>
      </c>
      <c r="S39" s="15">
        <f>R40/$C$14</f>
        <v>56271.355493130526</v>
      </c>
      <c r="T39" s="16">
        <f>MAX((U38*$C$15+U40*(1-$C$15))*EXP(-$C$9*$C$13),$C$8-T38)</f>
        <v>116.07744564842561</v>
      </c>
      <c r="U39" s="15">
        <f>T40/$C$14</f>
        <v>56271.355493130526</v>
      </c>
      <c r="V39" s="16">
        <f>MAX((W38*$C$15+W40*(1-$C$15))*EXP(-$C$9*$C$13),$C$8-V38)</f>
        <v>96.227123135822495</v>
      </c>
      <c r="W39" s="15">
        <f>V40/$C$14</f>
        <v>56271.355493130526</v>
      </c>
      <c r="X39" s="16">
        <f>MAX((Y38*$C$15+Y40*(1-$C$15))*EXP(-$C$9*$C$13),$C$8-X38)</f>
        <v>78.039910807550072</v>
      </c>
      <c r="Y39" s="15">
        <f>X40/$C$14</f>
        <v>56271.355493130526</v>
      </c>
      <c r="Z39" s="16">
        <f>MAX((AA38*$C$15+AA40*(1-$C$15))*EXP(-$C$9*$C$13),$C$8-Z38)</f>
        <v>61.624683648813786</v>
      </c>
      <c r="AA39" s="15">
        <f>Z40/$C$14</f>
        <v>56271.355493130526</v>
      </c>
      <c r="AB39" s="16">
        <f>MAX((AC38*$C$15+AC40*(1-$C$15))*EXP(-$C$9*$C$13),$C$8-AB38)</f>
        <v>47.084082491782738</v>
      </c>
      <c r="AC39" s="15">
        <f>AB40/$C$14</f>
        <v>56271.355493130526</v>
      </c>
      <c r="AD39" s="16">
        <f>MAX((AE38*$C$15+AE40*(1-$C$15))*EXP(-$C$9*$C$13),$C$8-AD38)</f>
        <v>34.507796851207054</v>
      </c>
      <c r="AE39" s="15">
        <f>AD40/$C$14</f>
        <v>56271.355493130526</v>
      </c>
      <c r="AF39" s="16">
        <f>MAX((AG38*$C$15+AG40*(1-$C$15))*EXP(-$C$9*$C$13),$C$8-AF38)</f>
        <v>23.962972674311811</v>
      </c>
      <c r="AG39" s="15">
        <f>AF40/$C$14</f>
        <v>56271.355493130526</v>
      </c>
      <c r="AH39" s="16">
        <f>MAX((AI38*$C$15+AI40*(1-$C$15))*EXP(-$C$9*$C$13),$C$8-AH38)</f>
        <v>15.480845074106423</v>
      </c>
      <c r="AI39" s="15">
        <f>AH40/$C$14</f>
        <v>56271.355493130526</v>
      </c>
      <c r="AJ39" s="16">
        <f>MAX((AK38*$C$15+AK40*(1-$C$15))*EXP(-$C$9*$C$13),$C$8-AJ38)</f>
        <v>9.0387111620328753</v>
      </c>
      <c r="AK39" s="15">
        <f>AJ40/$C$14</f>
        <v>56271.355493130526</v>
      </c>
      <c r="AL39" s="16">
        <f>MAX((AM38*$C$15+AM40*(1-$C$15))*EXP(-$C$9*$C$13),$C$8-AL38)</f>
        <v>4.5368763268663654</v>
      </c>
      <c r="AM39" s="15">
        <f>AL40/$C$14</f>
        <v>56271.355493130526</v>
      </c>
      <c r="AN39" s="16">
        <f>MAX((AO38*$C$15+AO40*(1-$C$15))*EXP(-$C$9*$C$13),$C$8-AN38)</f>
        <v>1.7720211477684265</v>
      </c>
      <c r="AO39" s="15">
        <f>AN40/$C$14</f>
        <v>56271.355493130526</v>
      </c>
      <c r="AP39" s="16">
        <f>MAX((AQ38*$C$15+AQ40*(1-$C$15))*EXP(-$C$9*$C$13),$C$8-AP38)</f>
        <v>0.41340089892029513</v>
      </c>
      <c r="AQ39" s="15">
        <f>AP40/$C$14</f>
        <v>56271.355493130526</v>
      </c>
      <c r="AR39" s="16">
        <f>MAX((AS38*$C$15+AS40*(1-$C$15))*EXP(-$C$9*$C$13),$C$8-AR38)</f>
        <v>0</v>
      </c>
      <c r="AS39" s="15">
        <f>AR40/$C$14</f>
        <v>56271.355493130526</v>
      </c>
      <c r="AT39" s="16">
        <f>MAX((AU38*$C$15+AU40*(1-$C$15))*EXP(-$C$9*$C$13),$C$8-AT38)</f>
        <v>0</v>
      </c>
      <c r="AU39" s="15">
        <f>AT40/$C$14</f>
        <v>56271.355493130526</v>
      </c>
      <c r="AV39" s="16">
        <f>MAX((AW38*$C$15+AW40*(1-$C$15))*EXP(-$C$9*$C$13),$C$8-AV38)</f>
        <v>0</v>
      </c>
      <c r="AW39" s="15">
        <f>AV40/$C$14</f>
        <v>56271.355493130526</v>
      </c>
      <c r="AX39" s="16">
        <f>MAX((AY38*$C$15+AY40*(1-$C$15))*EXP(-$C$9*$C$13),$C$8-AX38)</f>
        <v>0</v>
      </c>
      <c r="AY39" s="15">
        <f>AX40/$C$14</f>
        <v>56271.355493130526</v>
      </c>
      <c r="AZ39" s="16">
        <f>MAX((BA38*$C$15+BA40*(1-$C$15))*EXP(-$C$9*$C$13),$C$8-AZ38)</f>
        <v>0</v>
      </c>
      <c r="BA39" s="15">
        <f>AZ40/$C$14</f>
        <v>56271.355493130526</v>
      </c>
      <c r="BB39" s="16">
        <f>MAX(0,$C$8-BB38)</f>
        <v>0</v>
      </c>
      <c r="BD39" s="55">
        <f t="shared" si="14"/>
        <v>57636.800000000076</v>
      </c>
      <c r="BE39" s="48">
        <v>331.67214163738601</v>
      </c>
      <c r="BF39" s="48">
        <v>317.56578721373199</v>
      </c>
      <c r="BG39" s="48">
        <v>303.63510686598357</v>
      </c>
      <c r="BH39" s="48">
        <v>289.88845562580036</v>
      </c>
      <c r="BI39" s="48">
        <v>276.33450263193254</v>
      </c>
      <c r="BJ39" s="48">
        <v>262.98223671090761</v>
      </c>
      <c r="BK39" s="48">
        <v>249.84097070469298</v>
      </c>
      <c r="BL39" s="48">
        <v>236.92034423396805</v>
      </c>
      <c r="BM39" s="48">
        <v>224.23032452997217</v>
      </c>
      <c r="BN39" s="48">
        <v>211.78120490342192</v>
      </c>
      <c r="BO39" s="48">
        <v>199.58360034429515</v>
      </c>
      <c r="BP39" s="48">
        <v>187.64843966025413</v>
      </c>
      <c r="BQ39" s="48">
        <v>175.98695346282975</v>
      </c>
      <c r="BR39" s="48">
        <v>164.61065719783767</v>
      </c>
      <c r="BS39" s="48">
        <v>153.53132828871074</v>
      </c>
      <c r="BT39" s="48">
        <v>142.76097631748581</v>
      </c>
      <c r="BU39" s="48">
        <v>132.31180500742499</v>
      </c>
      <c r="BV39" s="48">
        <v>122.19616459381982</v>
      </c>
      <c r="BW39" s="48">
        <v>112.42649297657924</v>
      </c>
      <c r="BX39" s="48">
        <v>103.01524384267702</v>
      </c>
      <c r="BY39" s="48">
        <v>93.974799733853402</v>
      </c>
      <c r="BZ39" s="48">
        <v>85.317367824203501</v>
      </c>
      <c r="CA39" s="48">
        <v>77.05485597756487</v>
      </c>
      <c r="CB39" s="48">
        <v>69.19872649704503</v>
      </c>
      <c r="CC39" s="48">
        <v>61.759824889156782</v>
      </c>
      <c r="CD39" s="48">
        <v>54.748180985972049</v>
      </c>
      <c r="CE39" s="48">
        <v>48.172779959941295</v>
      </c>
      <c r="CF39" s="48">
        <v>42.041301207872316</v>
      </c>
      <c r="CG39" s="48">
        <v>36.359823878859892</v>
      </c>
      <c r="CH39" s="48">
        <v>31.132499111374301</v>
      </c>
      <c r="CI39" s="48">
        <v>26.361190995168798</v>
      </c>
      <c r="CJ39" s="48">
        <v>22.045091082355736</v>
      </c>
      <c r="CK39" s="48">
        <v>18.180315157003065</v>
      </c>
      <c r="CL39" s="48">
        <v>14.75949614704181</v>
      </c>
      <c r="CM39" s="48">
        <v>11.771393684052365</v>
      </c>
      <c r="CN39" s="48">
        <v>9.2005489062246628</v>
      </c>
      <c r="CO39" s="48">
        <v>7.0270224007397486</v>
      </c>
      <c r="CP39" s="48">
        <v>5.2262629701023391</v>
      </c>
      <c r="CQ39" s="48">
        <v>3.769163728548429</v>
      </c>
      <c r="CR39" s="48">
        <v>2.6223674218426516</v>
      </c>
      <c r="CS39" s="48">
        <v>1.7488811061068108</v>
      </c>
      <c r="CT39" s="48">
        <v>1.1090464893866334</v>
      </c>
      <c r="CU39" s="48">
        <v>0.66188078523959704</v>
      </c>
      <c r="CV39" s="48">
        <v>0.36674931529635596</v>
      </c>
      <c r="CW39" s="48">
        <v>0.18525491272345071</v>
      </c>
      <c r="CX39" s="48">
        <v>8.3138747773265548E-2</v>
      </c>
      <c r="CY39" s="48">
        <v>3.1904581995796405E-2</v>
      </c>
      <c r="CZ39" s="48">
        <v>9.8414781712077293E-3</v>
      </c>
      <c r="DA39" s="48">
        <v>2.1752507093001838E-3</v>
      </c>
      <c r="DB39" s="48">
        <v>2.5916288121360302E-4</v>
      </c>
      <c r="DC39" s="49">
        <f t="shared" si="15"/>
        <v>0</v>
      </c>
      <c r="DD39" s="5">
        <f t="shared" si="10"/>
        <v>51</v>
      </c>
      <c r="DE39" s="30" cm="1">
        <f t="array" ref="DE39">1/2*(rf-q)*DD39*dt-1/2*(sigma^2)*(DD39^2)*dt</f>
        <v>-1.9685601431506845</v>
      </c>
      <c r="DF39" s="25">
        <f t="shared" si="11"/>
        <v>4.950967957534246</v>
      </c>
      <c r="DG39" s="6">
        <f t="shared" si="12"/>
        <v>-1.9821415130136981</v>
      </c>
      <c r="DH39" s="25">
        <f t="shared" si="13"/>
        <v>360.37998293345072</v>
      </c>
      <c r="DI39">
        <v>374.96626749988826</v>
      </c>
      <c r="DJ39" s="27">
        <f t="shared" si="16"/>
        <v>374.96626749988826</v>
      </c>
    </row>
    <row r="40" spans="4:114" x14ac:dyDescent="0.25">
      <c r="P40" s="15">
        <f>O41/$C$14</f>
        <v>54120.462209839825</v>
      </c>
      <c r="Q40" s="16">
        <f>MAX((R39*$C$15+R41*(1-$C$15))*EXP(-$C$9*$C$13),$C$8-Q39)</f>
        <v>220.41997836688913</v>
      </c>
      <c r="R40" s="15">
        <f>Q41/$C$14</f>
        <v>54120.462209839825</v>
      </c>
      <c r="S40" s="16">
        <f>MAX((T39*$C$15+T41*(1-$C$15))*EXP(-$C$9*$C$13),$C$8-S39)</f>
        <v>191.3037154874327</v>
      </c>
      <c r="T40" s="15">
        <f>S41/$C$14</f>
        <v>54120.462209839825</v>
      </c>
      <c r="U40" s="16">
        <f>MAX((V39*$C$15+V41*(1-$C$15))*EXP(-$C$9*$C$13),$C$8-U39)</f>
        <v>163.66794179860383</v>
      </c>
      <c r="V40" s="15">
        <f>U41/$C$14</f>
        <v>54120.462209839825</v>
      </c>
      <c r="W40" s="16">
        <f>MAX((X39*$C$15+X41*(1-$C$15))*EXP(-$C$9*$C$13),$C$8-W39)</f>
        <v>137.66352091191411</v>
      </c>
      <c r="X40" s="15">
        <f>W41/$C$14</f>
        <v>54120.462209839825</v>
      </c>
      <c r="Y40" s="16">
        <f>MAX((Z39*$C$15+Z41*(1-$C$15))*EXP(-$C$9*$C$13),$C$8-Y39)</f>
        <v>113.4517206821985</v>
      </c>
      <c r="Z40" s="15">
        <f>Y41/$C$14</f>
        <v>54120.462209839825</v>
      </c>
      <c r="AA40" s="16">
        <f>MAX((AB39*$C$15+AB41*(1-$C$15))*EXP(-$C$9*$C$13),$C$8-AA39)</f>
        <v>91.202518846706766</v>
      </c>
      <c r="AB40" s="15">
        <f>AA41/$C$14</f>
        <v>54120.462209839825</v>
      </c>
      <c r="AC40" s="16">
        <f>MAX((AD39*$C$15+AD41*(1-$C$15))*EXP(-$C$9*$C$13),$C$8-AC39)</f>
        <v>71.091283974277019</v>
      </c>
      <c r="AD40" s="15">
        <f>AC41/$C$14</f>
        <v>54120.462209839825</v>
      </c>
      <c r="AE40" s="16">
        <f>MAX((AF39*$C$15+AF41*(1-$C$15))*EXP(-$C$9*$C$13),$C$8-AE39)</f>
        <v>53.292936472762911</v>
      </c>
      <c r="AF40" s="15">
        <f>AE41/$C$14</f>
        <v>54120.462209839825</v>
      </c>
      <c r="AG40" s="16">
        <f>MAX((AH39*$C$15+AH41*(1-$C$15))*EXP(-$C$9*$C$13),$C$8-AG39)</f>
        <v>37.972252082715301</v>
      </c>
      <c r="AH40" s="15">
        <f>AG41/$C$14</f>
        <v>54120.462209839825</v>
      </c>
      <c r="AI40" s="16">
        <f>MAX((AJ39*$C$15+AJ41*(1-$C$15))*EXP(-$C$9*$C$13),$C$8-AI39)</f>
        <v>25.268367681447931</v>
      </c>
      <c r="AJ40" s="15">
        <f>AI41/$C$14</f>
        <v>54120.462209839825</v>
      </c>
      <c r="AK40" s="16">
        <f>MAX((AL39*$C$15+AL41*(1-$C$15))*EXP(-$C$9*$C$13),$C$8-AK39)</f>
        <v>15.270793471633052</v>
      </c>
      <c r="AL40" s="15">
        <f>AK41/$C$14</f>
        <v>54120.462209839825</v>
      </c>
      <c r="AM40" s="16">
        <f>MAX((AN39*$C$15+AN41*(1-$C$15))*EXP(-$C$9*$C$13),$C$8-AM39)</f>
        <v>7.9835827803450723</v>
      </c>
      <c r="AN40" s="15">
        <f>AM41/$C$14</f>
        <v>54120.462209839825</v>
      </c>
      <c r="AO40" s="16">
        <f>MAX((AP39*$C$15+AP41*(1-$C$15))*EXP(-$C$9*$C$13),$C$8-AO39)</f>
        <v>3.274616055756379</v>
      </c>
      <c r="AP40" s="15">
        <f>AO41/$C$14</f>
        <v>54120.462209839825</v>
      </c>
      <c r="AQ40" s="16">
        <f>MAX((AR39*$C$15+AR41*(1-$C$15))*EXP(-$C$9*$C$13),$C$8-AQ39)</f>
        <v>0.81121613012283078</v>
      </c>
      <c r="AR40" s="15">
        <f>AQ41/$C$14</f>
        <v>54120.462209839825</v>
      </c>
      <c r="AS40" s="16">
        <f>MAX((AT39*$C$15+AT41*(1-$C$15))*EXP(-$C$9*$C$13),$C$8-AS39)</f>
        <v>0</v>
      </c>
      <c r="AT40" s="15">
        <f>AS41/$C$14</f>
        <v>54120.462209839825</v>
      </c>
      <c r="AU40" s="16">
        <f>MAX((AV39*$C$15+AV41*(1-$C$15))*EXP(-$C$9*$C$13),$C$8-AU39)</f>
        <v>0</v>
      </c>
      <c r="AV40" s="15">
        <f>AU41/$C$14</f>
        <v>54120.462209839825</v>
      </c>
      <c r="AW40" s="16">
        <f>MAX((AX39*$C$15+AX41*(1-$C$15))*EXP(-$C$9*$C$13),$C$8-AW39)</f>
        <v>0</v>
      </c>
      <c r="AX40" s="15">
        <f>AW41/$C$14</f>
        <v>54120.462209839825</v>
      </c>
      <c r="AY40" s="16">
        <f>MAX((AZ39*$C$15+AZ41*(1-$C$15))*EXP(-$C$9*$C$13),$C$8-AY39)</f>
        <v>0</v>
      </c>
      <c r="AZ40" s="15">
        <f>AY41/$C$14</f>
        <v>54120.462209839825</v>
      </c>
      <c r="BA40" s="16">
        <f>MAX((BB39*$C$15+BB41*(1-$C$15))*EXP(-$C$9*$C$13),$C$8-BA39)</f>
        <v>0</v>
      </c>
      <c r="BB40" s="15">
        <f>BA41/$C$14</f>
        <v>54120.462209839825</v>
      </c>
      <c r="BD40" s="55">
        <f t="shared" si="14"/>
        <v>56506.666666666744</v>
      </c>
      <c r="BE40" s="48">
        <v>386.16958160437679</v>
      </c>
      <c r="BF40" s="48">
        <v>370.59712598061986</v>
      </c>
      <c r="BG40" s="48">
        <v>355.18549271992902</v>
      </c>
      <c r="BH40" s="48">
        <v>339.94341613393226</v>
      </c>
      <c r="BI40" s="48">
        <v>324.88001272761693</v>
      </c>
      <c r="BJ40" s="48">
        <v>310.0047939148775</v>
      </c>
      <c r="BK40" s="48">
        <v>295.32767815349177</v>
      </c>
      <c r="BL40" s="48">
        <v>280.85900223956963</v>
      </c>
      <c r="BM40" s="48">
        <v>266.60953144605628</v>
      </c>
      <c r="BN40" s="48">
        <v>252.59046812406169</v>
      </c>
      <c r="BO40" s="48">
        <v>238.81345830779699</v>
      </c>
      <c r="BP40" s="48">
        <v>225.29059577171341</v>
      </c>
      <c r="BQ40" s="48">
        <v>212.03442288006397</v>
      </c>
      <c r="BR40" s="48">
        <v>199.05792744185487</v>
      </c>
      <c r="BS40" s="48">
        <v>186.37453463548385</v>
      </c>
      <c r="BT40" s="48">
        <v>173.99809289440455</v>
      </c>
      <c r="BU40" s="48">
        <v>161.9428524448146</v>
      </c>
      <c r="BV40" s="48">
        <v>150.2234349558548</v>
      </c>
      <c r="BW40" s="48">
        <v>138.85479249953519</v>
      </c>
      <c r="BX40" s="48">
        <v>127.85215372002608</v>
      </c>
      <c r="BY40" s="48">
        <v>117.23095478001294</v>
      </c>
      <c r="BZ40" s="48">
        <v>107.00675228822894</v>
      </c>
      <c r="CA40" s="48">
        <v>97.195115023815632</v>
      </c>
      <c r="CB40" s="48">
        <v>87.811490872843549</v>
      </c>
      <c r="CC40" s="48">
        <v>78.871045002221251</v>
      </c>
      <c r="CD40" s="48">
        <v>70.388464951450231</v>
      </c>
      <c r="CE40" s="48">
        <v>62.377728076634575</v>
      </c>
      <c r="CF40" s="48">
        <v>54.851826712537324</v>
      </c>
      <c r="CG40" s="48">
        <v>47.822446639963317</v>
      </c>
      <c r="CH40" s="48">
        <v>41.299595114430197</v>
      </c>
      <c r="CI40" s="48">
        <v>35.291176040793928</v>
      </c>
      <c r="CJ40" s="48">
        <v>29.802512146258909</v>
      </c>
      <c r="CK40" s="48">
        <v>24.835817562313146</v>
      </c>
      <c r="CL40" s="48">
        <v>20.389629492880456</v>
      </c>
      <c r="CM40" s="48">
        <v>16.458215079136643</v>
      </c>
      <c r="CN40" s="48">
        <v>13.030979599310966</v>
      </c>
      <c r="CO40" s="48">
        <v>10.091915028969183</v>
      </c>
      <c r="CP40" s="48">
        <v>7.6191435969081223</v>
      </c>
      <c r="CQ40" s="48">
        <v>5.5846283949748745</v>
      </c>
      <c r="CR40" s="48">
        <v>3.9541401264622476</v>
      </c>
      <c r="CS40" s="48">
        <v>2.687581549741584</v>
      </c>
      <c r="CT40" s="48">
        <v>1.7397723833507288</v>
      </c>
      <c r="CU40" s="48">
        <v>1.0617779621146317</v>
      </c>
      <c r="CV40" s="48">
        <v>0.60281364319549191</v>
      </c>
      <c r="CW40" s="48">
        <v>0.31266431564538749</v>
      </c>
      <c r="CX40" s="48">
        <v>0.14442314335035614</v>
      </c>
      <c r="CY40" s="48">
        <v>5.7193316746907662E-2</v>
      </c>
      <c r="CZ40" s="48">
        <v>1.8258302822781722E-2</v>
      </c>
      <c r="DA40" s="48">
        <v>4.1897965776576439E-3</v>
      </c>
      <c r="DB40" s="48">
        <v>5.2006367657473794E-4</v>
      </c>
      <c r="DC40" s="49">
        <f t="shared" si="15"/>
        <v>0</v>
      </c>
      <c r="DD40" s="5">
        <f t="shared" si="10"/>
        <v>50</v>
      </c>
      <c r="DE40" s="30" cm="1">
        <f t="array" ref="DE40">1/2*(rf-q)*DD40*dt-1/2*(sigma^2)*(DD40^2)*dt</f>
        <v>-1.8919880136986298</v>
      </c>
      <c r="DF40" s="25">
        <f t="shared" si="11"/>
        <v>4.797557397260273</v>
      </c>
      <c r="DG40" s="6">
        <f t="shared" si="12"/>
        <v>-1.9053030821917805</v>
      </c>
      <c r="DH40" s="25">
        <f t="shared" si="13"/>
        <v>417.76385497208287</v>
      </c>
      <c r="DI40">
        <v>433.76999649212729</v>
      </c>
      <c r="DJ40" s="27">
        <f t="shared" si="16"/>
        <v>433.76999649212729</v>
      </c>
    </row>
    <row r="41" spans="4:114" x14ac:dyDescent="0.25">
      <c r="O41" s="15">
        <f>N42/$C$14</f>
        <v>52051.78379192001</v>
      </c>
      <c r="P41" s="16">
        <f>MAX((Q40*$C$15+Q42*(1-$C$15))*EXP(-$C$9*$C$13),$C$8-P40)</f>
        <v>338.09697176249944</v>
      </c>
      <c r="Q41" s="15">
        <f>P42/$C$14</f>
        <v>52051.78379192001</v>
      </c>
      <c r="R41" s="16">
        <f>MAX((S40*$C$15+S42*(1-$C$15))*EXP(-$C$9*$C$13),$C$8-R40)</f>
        <v>300.30450433231431</v>
      </c>
      <c r="S41" s="15">
        <f>R42/$C$14</f>
        <v>52051.78379192001</v>
      </c>
      <c r="T41" s="16">
        <f>MAX((U40*$C$15+U42*(1-$C$15))*EXP(-$C$9*$C$13),$C$8-T40)</f>
        <v>263.75452205972499</v>
      </c>
      <c r="U41" s="15">
        <f>T42/$C$14</f>
        <v>52051.78379192001</v>
      </c>
      <c r="V41" s="16">
        <f>MAX((W40*$C$15+W42*(1-$C$15))*EXP(-$C$9*$C$13),$C$8-V40)</f>
        <v>228.61644559006501</v>
      </c>
      <c r="W41" s="15">
        <f>V42/$C$14</f>
        <v>52051.78379192001</v>
      </c>
      <c r="X41" s="16">
        <f>MAX((Y40*$C$15+Y42*(1-$C$15))*EXP(-$C$9*$C$13),$C$8-X40)</f>
        <v>195.08003079247334</v>
      </c>
      <c r="Y41" s="15">
        <f>X42/$C$14</f>
        <v>52051.78379192001</v>
      </c>
      <c r="Z41" s="16">
        <f>MAX((AA40*$C$15+AA42*(1-$C$15))*EXP(-$C$9*$C$13),$C$8-Z40)</f>
        <v>163.35702000916442</v>
      </c>
      <c r="AA41" s="15">
        <f>Z42/$C$14</f>
        <v>52051.78379192001</v>
      </c>
      <c r="AB41" s="16">
        <f>MAX((AC40*$C$15+AC42*(1-$C$15))*EXP(-$C$9*$C$13),$C$8-AB40)</f>
        <v>133.68224283637355</v>
      </c>
      <c r="AC41" s="15">
        <f>AB42/$C$14</f>
        <v>52051.78379192001</v>
      </c>
      <c r="AD41" s="16">
        <f>MAX((AE40*$C$15+AE42*(1-$C$15))*EXP(-$C$9*$C$13),$C$8-AD40)</f>
        <v>106.31356356480156</v>
      </c>
      <c r="AE41" s="15">
        <f>AD42/$C$14</f>
        <v>52051.78379192001</v>
      </c>
      <c r="AF41" s="16">
        <f>MAX((AG40*$C$15+AG42*(1-$C$15))*EXP(-$C$9*$C$13),$C$8-AF40)</f>
        <v>81.529648930759365</v>
      </c>
      <c r="AG41" s="15">
        <f>AF42/$C$14</f>
        <v>52051.78379192001</v>
      </c>
      <c r="AH41" s="16">
        <f>MAX((AI40*$C$15+AI42*(1-$C$15))*EXP(-$C$9*$C$13),$C$8-AH40)</f>
        <v>59.623796994218637</v>
      </c>
      <c r="AI41" s="15">
        <f>AH42/$C$14</f>
        <v>52051.78379192001</v>
      </c>
      <c r="AJ41" s="16">
        <f>MAX((AK40*$C$15+AK42*(1-$C$15))*EXP(-$C$9*$C$13),$C$8-AJ40)</f>
        <v>40.890870999417608</v>
      </c>
      <c r="AK41" s="15">
        <f>AJ42/$C$14</f>
        <v>52051.78379192001</v>
      </c>
      <c r="AL41" s="16">
        <f>MAX((AM40*$C$15+AM42*(1-$C$15))*EXP(-$C$9*$C$13),$C$8-AL40)</f>
        <v>25.602400643966352</v>
      </c>
      <c r="AM41" s="15">
        <f>AL42/$C$14</f>
        <v>52051.78379192001</v>
      </c>
      <c r="AN41" s="16">
        <f>MAX((AO40*$C$15+AO42*(1-$C$15))*EXP(-$C$9*$C$13),$C$8-AN40)</f>
        <v>13.961887589565912</v>
      </c>
      <c r="AO41" s="15">
        <f>AN42/$C$14</f>
        <v>52051.78379192001</v>
      </c>
      <c r="AP41" s="16">
        <f>MAX((AQ40*$C$15+AQ42*(1-$C$15))*EXP(-$C$9*$C$13),$C$8-AP40)</f>
        <v>6.0281762593637893</v>
      </c>
      <c r="AQ41" s="15">
        <f>AP42/$C$14</f>
        <v>52051.78379192001</v>
      </c>
      <c r="AR41" s="16">
        <f>MAX((AS40*$C$15+AS42*(1-$C$15))*EXP(-$C$9*$C$13),$C$8-AR40)</f>
        <v>1.5918485215929334</v>
      </c>
      <c r="AS41" s="15">
        <f>AR42/$C$14</f>
        <v>52051.78379192001</v>
      </c>
      <c r="AT41" s="16">
        <f>MAX((AU40*$C$15+AU42*(1-$C$15))*EXP(-$C$9*$C$13),$C$8-AT40)</f>
        <v>0</v>
      </c>
      <c r="AU41" s="15">
        <f>AT42/$C$14</f>
        <v>52051.78379192001</v>
      </c>
      <c r="AV41" s="16">
        <f>MAX((AW40*$C$15+AW42*(1-$C$15))*EXP(-$C$9*$C$13),$C$8-AV40)</f>
        <v>0</v>
      </c>
      <c r="AW41" s="15">
        <f>AV42/$C$14</f>
        <v>52051.78379192001</v>
      </c>
      <c r="AX41" s="16">
        <f>MAX((AY40*$C$15+AY42*(1-$C$15))*EXP(-$C$9*$C$13),$C$8-AX40)</f>
        <v>0</v>
      </c>
      <c r="AY41" s="15">
        <f>AX42/$C$14</f>
        <v>52051.78379192001</v>
      </c>
      <c r="AZ41" s="16">
        <f>MAX((BA40*$C$15+BA42*(1-$C$15))*EXP(-$C$9*$C$13),$C$8-AZ40)</f>
        <v>0</v>
      </c>
      <c r="BA41" s="15">
        <f>AZ42/$C$14</f>
        <v>52051.78379192001</v>
      </c>
      <c r="BB41" s="16">
        <f>MAX(0,$C$8-BB40)</f>
        <v>0</v>
      </c>
      <c r="BD41" s="55">
        <f t="shared" si="14"/>
        <v>55376.533333333413</v>
      </c>
      <c r="BE41" s="48">
        <v>449.33564427904184</v>
      </c>
      <c r="BF41" s="48">
        <v>432.1995759667941</v>
      </c>
      <c r="BG41" s="48">
        <v>415.20477994731874</v>
      </c>
      <c r="BH41" s="48">
        <v>398.36017170458319</v>
      </c>
      <c r="BI41" s="48">
        <v>381.67511081440676</v>
      </c>
      <c r="BJ41" s="48">
        <v>365.15942115373105</v>
      </c>
      <c r="BK41" s="48">
        <v>348.8234113438188</v>
      </c>
      <c r="BL41" s="48">
        <v>332.67789524847717</v>
      </c>
      <c r="BM41" s="48">
        <v>316.73421229859855</v>
      </c>
      <c r="BN41" s="48">
        <v>301.00424735362452</v>
      </c>
      <c r="BO41" s="48">
        <v>285.50044973660863</v>
      </c>
      <c r="BP41" s="48">
        <v>270.23585098988787</v>
      </c>
      <c r="BQ41" s="48">
        <v>255.22408078999518</v>
      </c>
      <c r="BR41" s="48">
        <v>240.47938032988415</v>
      </c>
      <c r="BS41" s="48">
        <v>226.01661231962876</v>
      </c>
      <c r="BT41" s="48">
        <v>211.85126656903466</v>
      </c>
      <c r="BU41" s="48">
        <v>197.99945989131675</v>
      </c>
      <c r="BV41" s="48">
        <v>184.4779288003115</v>
      </c>
      <c r="BW41" s="48">
        <v>171.30401315770763</v>
      </c>
      <c r="BX41" s="48">
        <v>158.49562855460866</v>
      </c>
      <c r="BY41" s="48">
        <v>146.07122477639885</v>
      </c>
      <c r="BZ41" s="48">
        <v>134.04972719547732</v>
      </c>
      <c r="CA41" s="48">
        <v>122.45045735908951</v>
      </c>
      <c r="CB41" s="48">
        <v>111.29302838923859</v>
      </c>
      <c r="CC41" s="48">
        <v>100.59721009520662</v>
      </c>
      <c r="CD41" s="48">
        <v>90.382757933924353</v>
      </c>
      <c r="CE41" s="48">
        <v>80.669199173205797</v>
      </c>
      <c r="CF41" s="48">
        <v>71.475568876844832</v>
      </c>
      <c r="CG41" s="48">
        <v>62.820087734860842</v>
      </c>
      <c r="CH41" s="48">
        <v>54.719773455994051</v>
      </c>
      <c r="CI41" s="48">
        <v>47.18997764598496</v>
      </c>
      <c r="CJ41" s="48">
        <v>40.243841136526264</v>
      </c>
      <c r="CK41" s="48">
        <v>33.891663056033188</v>
      </c>
      <c r="CL41" s="48">
        <v>28.140183149033959</v>
      </c>
      <c r="CM41" s="48">
        <v>22.991783730347386</v>
      </c>
      <c r="CN41" s="48">
        <v>18.443628130674714</v>
      </c>
      <c r="CO41" s="48">
        <v>14.486767551179369</v>
      </c>
      <c r="CP41" s="48">
        <v>11.105268760550732</v>
      </c>
      <c r="CQ41" s="48">
        <v>8.275441365448879</v>
      </c>
      <c r="CR41" s="48">
        <v>5.9652745422082436</v>
      </c>
      <c r="CS41" s="48">
        <v>4.1342258739756188</v>
      </c>
      <c r="CT41" s="48">
        <v>2.7335322281089902</v>
      </c>
      <c r="CU41" s="48">
        <v>1.7072220064995274</v>
      </c>
      <c r="CV41" s="48">
        <v>0.99398099933993478</v>
      </c>
      <c r="CW41" s="48">
        <v>0.52993734291949623</v>
      </c>
      <c r="CX41" s="48">
        <v>0.2522640138923658</v>
      </c>
      <c r="CY41" s="48">
        <v>0.10324696412867111</v>
      </c>
      <c r="CZ41" s="48">
        <v>3.4172764317113004E-2</v>
      </c>
      <c r="DA41" s="48">
        <v>8.1587271586838536E-3</v>
      </c>
      <c r="DB41" s="48">
        <v>1.0577506159638198E-3</v>
      </c>
      <c r="DC41" s="49">
        <f t="shared" si="15"/>
        <v>0</v>
      </c>
      <c r="DD41" s="5">
        <f t="shared" si="10"/>
        <v>49</v>
      </c>
      <c r="DE41" s="30" cm="1">
        <f t="array" ref="DE41">1/2*(rf-q)*DD41*dt-1/2*(sigma^2)*(DD41^2)*dt</f>
        <v>-1.8169348006849313</v>
      </c>
      <c r="DF41" s="25">
        <f t="shared" si="11"/>
        <v>4.6471846698630133</v>
      </c>
      <c r="DG41" s="6">
        <f t="shared" si="12"/>
        <v>-1.829983567808219</v>
      </c>
      <c r="DH41" s="25">
        <f t="shared" si="13"/>
        <v>483.99803776003637</v>
      </c>
      <c r="DI41">
        <v>501.50857635081201</v>
      </c>
      <c r="DJ41" s="27">
        <f t="shared" si="16"/>
        <v>501.50857635081201</v>
      </c>
    </row>
    <row r="42" spans="4:114" x14ac:dyDescent="0.25">
      <c r="N42" s="15">
        <f>M43/$C$14</f>
        <v>50062.177691974393</v>
      </c>
      <c r="O42" s="16">
        <f>MAX((P41*$C$15+P43*(1-$C$15))*EXP(-$C$9*$C$13),$C$8-O41)</f>
        <v>498.46184428600048</v>
      </c>
      <c r="P42" s="15">
        <f>O43/$C$14</f>
        <v>50062.177691974393</v>
      </c>
      <c r="Q42" s="16">
        <f>MAX((R41*$C$15+R43*(1-$C$15))*EXP(-$C$9*$C$13),$C$8-Q41)</f>
        <v>451.4525812867538</v>
      </c>
      <c r="R42" s="15">
        <f>Q43/$C$14</f>
        <v>50062.177691974393</v>
      </c>
      <c r="S42" s="16">
        <f>MAX((T41*$C$15+T43*(1-$C$15))*EXP(-$C$9*$C$13),$C$8-S41)</f>
        <v>405.29579868944211</v>
      </c>
      <c r="T42" s="15">
        <f>S43/$C$14</f>
        <v>50062.177691974393</v>
      </c>
      <c r="U42" s="16">
        <f>MAX((V41*$C$15+V43*(1-$C$15))*EXP(-$C$9*$C$13),$C$8-U41)</f>
        <v>360.15324377571966</v>
      </c>
      <c r="V42" s="15">
        <f>U43/$C$14</f>
        <v>50062.177691974393</v>
      </c>
      <c r="W42" s="16">
        <f>MAX((X41*$C$15+X43*(1-$C$15))*EXP(-$C$9*$C$13),$C$8-W41)</f>
        <v>316.21227342942353</v>
      </c>
      <c r="X42" s="15">
        <f>W43/$C$14</f>
        <v>50062.177691974393</v>
      </c>
      <c r="Y42" s="16">
        <f>MAX((Z41*$C$15+Z43*(1-$C$15))*EXP(-$C$9*$C$13),$C$8-Y41)</f>
        <v>273.69014176595908</v>
      </c>
      <c r="Z42" s="15">
        <f>Y43/$C$14</f>
        <v>50062.177691974393</v>
      </c>
      <c r="AA42" s="16">
        <f>MAX((AB41*$C$15+AB43*(1-$C$15))*EXP(-$C$9*$C$13),$C$8-AA41)</f>
        <v>232.83886997328014</v>
      </c>
      <c r="AB42" s="15">
        <f>AA43/$C$14</f>
        <v>50062.177691974393</v>
      </c>
      <c r="AC42" s="16">
        <f>MAX((AD41*$C$15+AD43*(1-$C$15))*EXP(-$C$9*$C$13),$C$8-AC41)</f>
        <v>193.95059855791501</v>
      </c>
      <c r="AD42" s="15">
        <f>AC43/$C$14</f>
        <v>50062.177691974393</v>
      </c>
      <c r="AE42" s="16">
        <f>MAX((AF41*$C$15+AF43*(1-$C$15))*EXP(-$C$9*$C$13),$C$8-AE41)</f>
        <v>157.36310001271642</v>
      </c>
      <c r="AF42" s="15">
        <f>AE43/$C$14</f>
        <v>50062.177691974393</v>
      </c>
      <c r="AG42" s="16">
        <f>MAX((AH41*$C$15+AH43*(1-$C$15))*EXP(-$C$9*$C$13),$C$8-AG41)</f>
        <v>123.46472434840898</v>
      </c>
      <c r="AH42" s="15">
        <f>AG43/$C$14</f>
        <v>50062.177691974393</v>
      </c>
      <c r="AI42" s="16">
        <f>MAX((AJ41*$C$15+AJ43*(1-$C$15))*EXP(-$C$9*$C$13),$C$8-AI41)</f>
        <v>92.697191459886923</v>
      </c>
      <c r="AJ42" s="15">
        <f>AI43/$C$14</f>
        <v>50062.177691974393</v>
      </c>
      <c r="AK42" s="16">
        <f>MAX((AL41*$C$15+AL43*(1-$C$15))*EXP(-$C$9*$C$13),$C$8-AK41)</f>
        <v>65.553022366334702</v>
      </c>
      <c r="AL42" s="15">
        <f>AK43/$C$14</f>
        <v>50062.177691974393</v>
      </c>
      <c r="AM42" s="16">
        <f>MAX((AN41*$C$15+AN43*(1-$C$15))*EXP(-$C$9*$C$13),$C$8-AM41)</f>
        <v>42.561141100931522</v>
      </c>
      <c r="AN42" s="15">
        <f>AM43/$C$14</f>
        <v>50062.177691974393</v>
      </c>
      <c r="AO42" s="16">
        <f>MAX((AP41*$C$15+AP43*(1-$C$15))*EXP(-$C$9*$C$13),$C$8-AO41)</f>
        <v>24.247948219132301</v>
      </c>
      <c r="AP42" s="15">
        <f>AO43/$C$14</f>
        <v>50062.177691974393</v>
      </c>
      <c r="AQ42" s="16">
        <f>MAX((AR41*$C$15+AR43*(1-$C$15))*EXP(-$C$9*$C$13),$C$8-AQ41)</f>
        <v>11.048875119594756</v>
      </c>
      <c r="AR42" s="15">
        <f>AQ43/$C$14</f>
        <v>50062.177691974393</v>
      </c>
      <c r="AS42" s="16">
        <f>MAX((AT41*$C$15+AT43*(1-$C$15))*EXP(-$C$9*$C$13),$C$8-AS41)</f>
        <v>3.1236826064022218</v>
      </c>
      <c r="AT42" s="15">
        <f>AS43/$C$14</f>
        <v>50062.177691974393</v>
      </c>
      <c r="AU42" s="16">
        <f>MAX((AV41*$C$15+AV43*(1-$C$15))*EXP(-$C$9*$C$13),$C$8-AU41)</f>
        <v>0</v>
      </c>
      <c r="AV42" s="15">
        <f>AU43/$C$14</f>
        <v>50062.177691974393</v>
      </c>
      <c r="AW42" s="16">
        <f>MAX((AX41*$C$15+AX43*(1-$C$15))*EXP(-$C$9*$C$13),$C$8-AW41)</f>
        <v>0</v>
      </c>
      <c r="AX42" s="15">
        <f>AW43/$C$14</f>
        <v>50062.177691974393</v>
      </c>
      <c r="AY42" s="16">
        <f>MAX((AZ41*$C$15+AZ43*(1-$C$15))*EXP(-$C$9*$C$13),$C$8-AY41)</f>
        <v>0</v>
      </c>
      <c r="AZ42" s="15">
        <f>AY43/$C$14</f>
        <v>50062.177691974393</v>
      </c>
      <c r="BA42" s="16">
        <f>MAX((BB41*$C$15+BB43*(1-$C$15))*EXP(-$C$9*$C$13),$C$8-BA41)</f>
        <v>0</v>
      </c>
      <c r="BB42" s="15">
        <f>BA43/$C$14</f>
        <v>50062.177691974393</v>
      </c>
      <c r="BD42" s="55">
        <f t="shared" si="14"/>
        <v>54246.400000000081</v>
      </c>
      <c r="BE42" s="48">
        <v>522.45251324845128</v>
      </c>
      <c r="BF42" s="48">
        <v>503.66133811758834</v>
      </c>
      <c r="BG42" s="48">
        <v>484.98685862967386</v>
      </c>
      <c r="BH42" s="48">
        <v>466.43792963070268</v>
      </c>
      <c r="BI42" s="48">
        <v>448.02390134391595</v>
      </c>
      <c r="BJ42" s="48">
        <v>429.75464700082256</v>
      </c>
      <c r="BK42" s="48">
        <v>411.64059162500314</v>
      </c>
      <c r="BL42" s="48">
        <v>393.6927418988011</v>
      </c>
      <c r="BM42" s="48">
        <v>375.92271700490028</v>
      </c>
      <c r="BN42" s="48">
        <v>358.34278028653483</v>
      </c>
      <c r="BO42" s="48">
        <v>340.96587150888615</v>
      </c>
      <c r="BP42" s="48">
        <v>323.805639427377</v>
      </c>
      <c r="BQ42" s="48">
        <v>306.87647427241569</v>
      </c>
      <c r="BR42" s="48">
        <v>290.19353964063481</v>
      </c>
      <c r="BS42" s="48">
        <v>273.77280313457709</v>
      </c>
      <c r="BT42" s="48">
        <v>257.63106491007653</v>
      </c>
      <c r="BU42" s="48">
        <v>241.78598306563583</v>
      </c>
      <c r="BV42" s="48">
        <v>226.25609453200539</v>
      </c>
      <c r="BW42" s="48">
        <v>211.06082978198828</v>
      </c>
      <c r="BX42" s="48">
        <v>196.22051926791534</v>
      </c>
      <c r="BY42" s="48">
        <v>181.75638899267918</v>
      </c>
      <c r="BZ42" s="48">
        <v>167.69054201406192</v>
      </c>
      <c r="CA42" s="48">
        <v>154.04592195455407</v>
      </c>
      <c r="CB42" s="48">
        <v>140.84625372323586</v>
      </c>
      <c r="CC42" s="48">
        <v>128.11595563794035</v>
      </c>
      <c r="CD42" s="48">
        <v>115.88001595516711</v>
      </c>
      <c r="CE42" s="48">
        <v>104.16382547255252</v>
      </c>
      <c r="CF42" s="48">
        <v>92.992956383162067</v>
      </c>
      <c r="CG42" s="48">
        <v>82.392875982643417</v>
      </c>
      <c r="CH42" s="48">
        <v>72.388582260060517</v>
      </c>
      <c r="CI42" s="48">
        <v>63.004147019826874</v>
      </c>
      <c r="CJ42" s="48">
        <v>54.262151281273056</v>
      </c>
      <c r="CK42" s="48">
        <v>46.182997748393696</v>
      </c>
      <c r="CL42" s="48">
        <v>38.784086833906827</v>
      </c>
      <c r="CM42" s="48">
        <v>32.078847067905869</v>
      </c>
      <c r="CN42" s="48">
        <v>26.075619112641345</v>
      </c>
      <c r="CO42" s="48">
        <v>20.776406855214702</v>
      </c>
      <c r="CP42" s="48">
        <v>16.1755313284213</v>
      </c>
      <c r="CQ42" s="48">
        <v>12.258255774582963</v>
      </c>
      <c r="CR42" s="48">
        <v>8.9994946806553457</v>
      </c>
      <c r="CS42" s="48">
        <v>6.3627758121269995</v>
      </c>
      <c r="CT42" s="48">
        <v>4.299687684082933</v>
      </c>
      <c r="CU42" s="48">
        <v>2.7501034776278908</v>
      </c>
      <c r="CV42" s="48">
        <v>1.6435024838118142</v>
      </c>
      <c r="CW42" s="48">
        <v>0.90167358873989878</v>
      </c>
      <c r="CX42" s="48">
        <v>0.44293197232190251</v>
      </c>
      <c r="CY42" s="48">
        <v>0.18766337384683016</v>
      </c>
      <c r="CZ42" s="48">
        <v>6.45240682916602E-2</v>
      </c>
      <c r="DA42" s="48">
        <v>1.6065574978744633E-2</v>
      </c>
      <c r="DB42" s="48">
        <v>2.1816162380759443E-3</v>
      </c>
      <c r="DC42" s="49">
        <f t="shared" si="15"/>
        <v>0</v>
      </c>
      <c r="DD42" s="5">
        <f t="shared" si="10"/>
        <v>48</v>
      </c>
      <c r="DE42" s="30" cm="1">
        <f t="array" ref="DE42">1/2*(rf-q)*DD42*dt-1/2*(sigma^2)*(DD42^2)*dt</f>
        <v>-1.7434005041095886</v>
      </c>
      <c r="DF42" s="25">
        <f t="shared" si="11"/>
        <v>4.4998497753424651</v>
      </c>
      <c r="DG42" s="6">
        <f t="shared" si="12"/>
        <v>-1.7561829698630134</v>
      </c>
      <c r="DH42" s="25">
        <f t="shared" si="13"/>
        <v>560.35185052344707</v>
      </c>
      <c r="DI42">
        <v>579.44454796978971</v>
      </c>
      <c r="DJ42" s="27">
        <f t="shared" si="16"/>
        <v>579.44454796978971</v>
      </c>
    </row>
    <row r="43" spans="4:114" x14ac:dyDescent="0.25">
      <c r="M43" s="15">
        <f>L44/$C$14</f>
        <v>48148.621482053015</v>
      </c>
      <c r="N43" s="16">
        <f>MAX((O42*$C$15+O44*(1-$C$15))*EXP(-$C$9*$C$13),$C$8-N42)</f>
        <v>709.20434194398251</v>
      </c>
      <c r="O43" s="15">
        <f>N44/$C$14</f>
        <v>48148.621482053015</v>
      </c>
      <c r="P43" s="16">
        <f>MAX((Q42*$C$15+Q44*(1-$C$15))*EXP(-$C$9*$C$13),$C$8-P42)</f>
        <v>652.95743847464621</v>
      </c>
      <c r="Q43" s="15">
        <f>P44/$C$14</f>
        <v>48148.621482053015</v>
      </c>
      <c r="R43" s="16">
        <f>MAX((S42*$C$15+S44*(1-$C$15))*EXP(-$C$9*$C$13),$C$8-R42)</f>
        <v>597.05911690593405</v>
      </c>
      <c r="S43" s="15">
        <f>R44/$C$14</f>
        <v>48148.621482053015</v>
      </c>
      <c r="T43" s="16">
        <f>MAX((U42*$C$15+U44*(1-$C$15))*EXP(-$C$9*$C$13),$C$8-T42)</f>
        <v>541.63862378111435</v>
      </c>
      <c r="U43" s="15">
        <f>T44/$C$14</f>
        <v>48148.621482053015</v>
      </c>
      <c r="V43" s="16">
        <f>MAX((W42*$C$15+W44*(1-$C$15))*EXP(-$C$9*$C$13),$C$8-V42)</f>
        <v>486.8504108335506</v>
      </c>
      <c r="W43" s="15">
        <f>V44/$C$14</f>
        <v>48148.621482053015</v>
      </c>
      <c r="X43" s="16">
        <f>MAX((Y42*$C$15+Y44*(1-$C$15))*EXP(-$C$9*$C$13),$C$8-X42)</f>
        <v>432.8796255523302</v>
      </c>
      <c r="Y43" s="15">
        <f>X44/$C$14</f>
        <v>48148.621482053015</v>
      </c>
      <c r="Z43" s="16">
        <f>MAX((AA42*$C$15+AA44*(1-$C$15))*EXP(-$C$9*$C$13),$C$8-Z42)</f>
        <v>379.94893666010699</v>
      </c>
      <c r="AA43" s="15">
        <f>Z44/$C$14</f>
        <v>48148.621482053015</v>
      </c>
      <c r="AB43" s="16">
        <f>MAX((AC42*$C$15+AC44*(1-$C$15))*EXP(-$C$9*$C$13),$C$8-AB42)</f>
        <v>328.32703149156617</v>
      </c>
      <c r="AC43" s="15">
        <f>AB44/$C$14</f>
        <v>48148.621482053015</v>
      </c>
      <c r="AD43" s="16">
        <f>MAX((AE42*$C$15+AE44*(1-$C$15))*EXP(-$C$9*$C$13),$C$8-AD42)</f>
        <v>278.33916925046634</v>
      </c>
      <c r="AE43" s="15">
        <f>AD44/$C$14</f>
        <v>48148.621482053015</v>
      </c>
      <c r="AF43" s="16">
        <f>MAX((AG42*$C$15+AG44*(1-$C$15))*EXP(-$C$9*$C$13),$C$8-AF42)</f>
        <v>230.38014543580033</v>
      </c>
      <c r="AG43" s="15">
        <f>AF44/$C$14</f>
        <v>48148.621482053015</v>
      </c>
      <c r="AH43" s="16">
        <f>MAX((AI42*$C$15+AI44*(1-$C$15))*EXP(-$C$9*$C$13),$C$8-AH42)</f>
        <v>184.92993169243005</v>
      </c>
      <c r="AI43" s="15">
        <f>AH44/$C$14</f>
        <v>48148.621482053015</v>
      </c>
      <c r="AJ43" s="16">
        <f>MAX((AK42*$C$15+AK44*(1-$C$15))*EXP(-$C$9*$C$13),$C$8-AJ42)</f>
        <v>142.57172197303086</v>
      </c>
      <c r="AK43" s="15">
        <f>AJ44/$C$14</f>
        <v>48148.621482053015</v>
      </c>
      <c r="AL43" s="16">
        <f>MAX((AM42*$C$15+AM44*(1-$C$15))*EXP(-$C$9*$C$13),$C$8-AL42)</f>
        <v>104.01083887538677</v>
      </c>
      <c r="AM43" s="15">
        <f>AL44/$C$14</f>
        <v>48148.621482053015</v>
      </c>
      <c r="AN43" s="16">
        <f>MAX((AO42*$C$15+AO44*(1-$C$15))*EXP(-$C$9*$C$13),$C$8-AN42)</f>
        <v>70.089466351761374</v>
      </c>
      <c r="AO43" s="15">
        <f>AN44/$C$14</f>
        <v>48148.621482053015</v>
      </c>
      <c r="AP43" s="16">
        <f>MAX((AQ42*$C$15+AQ44*(1-$C$15))*EXP(-$C$9*$C$13),$C$8-AP42)</f>
        <v>41.783964456266908</v>
      </c>
      <c r="AQ43" s="15">
        <f>AP44/$C$14</f>
        <v>48148.621482053015</v>
      </c>
      <c r="AR43" s="16">
        <f>MAX((AS42*$C$15+AS44*(1-$C$15))*EXP(-$C$9*$C$13),$C$8-AR42)</f>
        <v>20.150193163204449</v>
      </c>
      <c r="AS43" s="15">
        <f>AR44/$C$14</f>
        <v>48148.621482053015</v>
      </c>
      <c r="AT43" s="16">
        <f>MAX((AU42*$C$15+AU44*(1-$C$15))*EXP(-$C$9*$C$13),$C$8-AT42)</f>
        <v>6.1295989493873035</v>
      </c>
      <c r="AU43" s="15">
        <f>AT44/$C$14</f>
        <v>48148.621482053015</v>
      </c>
      <c r="AV43" s="16">
        <f>MAX((AW42*$C$15+AW44*(1-$C$15))*EXP(-$C$9*$C$13),$C$8-AV42)</f>
        <v>0</v>
      </c>
      <c r="AW43" s="15">
        <f>AV44/$C$14</f>
        <v>48148.621482053015</v>
      </c>
      <c r="AX43" s="16">
        <f>MAX((AY42*$C$15+AY44*(1-$C$15))*EXP(-$C$9*$C$13),$C$8-AX42)</f>
        <v>0</v>
      </c>
      <c r="AY43" s="15">
        <f>AX44/$C$14</f>
        <v>48148.621482053015</v>
      </c>
      <c r="AZ43" s="16">
        <f>MAX((BA42*$C$15+BA44*(1-$C$15))*EXP(-$C$9*$C$13),$C$8-AZ42)</f>
        <v>0</v>
      </c>
      <c r="BA43" s="15">
        <f>AZ44/$C$14</f>
        <v>48148.621482053015</v>
      </c>
      <c r="BB43" s="16">
        <f>MAX(0,$C$8-BB42)</f>
        <v>0</v>
      </c>
      <c r="BD43" s="55">
        <f t="shared" si="14"/>
        <v>53116.26666666675</v>
      </c>
      <c r="BE43" s="48">
        <v>606.96373410525814</v>
      </c>
      <c r="BF43" s="48">
        <v>586.43551108457007</v>
      </c>
      <c r="BG43" s="48">
        <v>565.99416562226497</v>
      </c>
      <c r="BH43" s="48">
        <v>545.64820869007565</v>
      </c>
      <c r="BI43" s="48">
        <v>525.40668252513785</v>
      </c>
      <c r="BJ43" s="48">
        <v>505.27919508017771</v>
      </c>
      <c r="BK43" s="48">
        <v>485.27595659233066</v>
      </c>
      <c r="BL43" s="48">
        <v>465.40781833236514</v>
      </c>
      <c r="BM43" s="48">
        <v>445.68631357556092</v>
      </c>
      <c r="BN43" s="48">
        <v>426.12370080716715</v>
      </c>
      <c r="BO43" s="48">
        <v>406.73300913600713</v>
      </c>
      <c r="BP43" s="48">
        <v>387.52808583689415</v>
      </c>
      <c r="BQ43" s="48">
        <v>368.52364587209019</v>
      </c>
      <c r="BR43" s="48">
        <v>349.73532315001734</v>
      </c>
      <c r="BS43" s="48">
        <v>331.17972316005677</v>
      </c>
      <c r="BT43" s="48">
        <v>312.87447646884522</v>
      </c>
      <c r="BU43" s="48">
        <v>294.83829236714587</v>
      </c>
      <c r="BV43" s="48">
        <v>277.09101170633238</v>
      </c>
      <c r="BW43" s="48">
        <v>259.65365764572061</v>
      </c>
      <c r="BX43" s="48">
        <v>242.54848262953016</v>
      </c>
      <c r="BY43" s="48">
        <v>225.79900940401404</v>
      </c>
      <c r="BZ43" s="48">
        <v>209.43006324615143</v>
      </c>
      <c r="CA43" s="48">
        <v>193.46779177554953</v>
      </c>
      <c r="CB43" s="48">
        <v>177.93966772609883</v>
      </c>
      <c r="CC43" s="48">
        <v>162.87446882444334</v>
      </c>
      <c r="CD43" s="48">
        <v>148.30222741576733</v>
      </c>
      <c r="CE43" s="48">
        <v>134.25414064993078</v>
      </c>
      <c r="CF43" s="48">
        <v>120.76242985334443</v>
      </c>
      <c r="CG43" s="48">
        <v>107.86013513921701</v>
      </c>
      <c r="CH43" s="48">
        <v>95.58082835787539</v>
      </c>
      <c r="CI43" s="48">
        <v>83.958224226994773</v>
      </c>
      <c r="CJ43" s="48">
        <v>73.025666080938535</v>
      </c>
      <c r="CK43" s="48">
        <v>62.815459483553845</v>
      </c>
      <c r="CL43" s="48">
        <v>53.358024575607217</v>
      </c>
      <c r="CM43" s="48">
        <v>44.680837502074709</v>
      </c>
      <c r="CN43" s="48">
        <v>36.807134203486633</v>
      </c>
      <c r="CO43" s="48">
        <v>29.754358684342346</v>
      </c>
      <c r="CP43" s="48">
        <v>23.532356030622061</v>
      </c>
      <c r="CQ43" s="48">
        <v>18.141342476431948</v>
      </c>
      <c r="CR43" s="48">
        <v>13.569736091914184</v>
      </c>
      <c r="CS43" s="48">
        <v>9.7920073505956982</v>
      </c>
      <c r="CT43" s="48">
        <v>6.7668114167083635</v>
      </c>
      <c r="CU43" s="48">
        <v>4.4357884492901114</v>
      </c>
      <c r="CV43" s="48">
        <v>2.7235441192426721</v>
      </c>
      <c r="CW43" s="48">
        <v>1.5394034706257635</v>
      </c>
      <c r="CX43" s="48">
        <v>0.78148549000895151</v>
      </c>
      <c r="CY43" s="48">
        <v>0.34335906230050434</v>
      </c>
      <c r="CZ43" s="48">
        <v>0.12290314935715788</v>
      </c>
      <c r="DA43" s="48">
        <v>3.1996572183247932E-2</v>
      </c>
      <c r="DB43" s="48">
        <v>4.5654121052660316E-3</v>
      </c>
      <c r="DC43" s="49">
        <f t="shared" si="15"/>
        <v>0</v>
      </c>
      <c r="DD43" s="5">
        <f t="shared" si="10"/>
        <v>47</v>
      </c>
      <c r="DE43" s="30" cm="1">
        <f t="array" ref="DE43">1/2*(rf-q)*DD43*dt-1/2*(sigma^2)*(DD43^2)*dt</f>
        <v>-1.6713851239726023</v>
      </c>
      <c r="DF43" s="25">
        <f t="shared" si="11"/>
        <v>4.3555527136986294</v>
      </c>
      <c r="DG43" s="6">
        <f t="shared" si="12"/>
        <v>-1.6839012883561641</v>
      </c>
      <c r="DH43" s="25">
        <f t="shared" si="13"/>
        <v>648.24923277812252</v>
      </c>
      <c r="DI43">
        <v>668.9918608518268</v>
      </c>
      <c r="DJ43" s="27">
        <f t="shared" si="16"/>
        <v>668.9918608518268</v>
      </c>
    </row>
    <row r="44" spans="4:114" x14ac:dyDescent="0.25">
      <c r="D44" s="65" t="s">
        <v>12</v>
      </c>
      <c r="E44" s="66"/>
      <c r="F44" s="66"/>
      <c r="G44" s="66"/>
      <c r="H44" s="67"/>
      <c r="L44" s="15">
        <f>K45/$C$14</f>
        <v>46308.208262256012</v>
      </c>
      <c r="M44" s="16">
        <f>MAX((N43*$C$15+N45*(1-$C$15))*EXP(-$C$9*$C$13),$C$8-M43)</f>
        <v>977.20868788176131</v>
      </c>
      <c r="N44" s="15">
        <f>M45/$C$14</f>
        <v>46308.208262256012</v>
      </c>
      <c r="O44" s="16">
        <f>MAX((P43*$C$15+P45*(1-$C$15))*EXP(-$C$9*$C$13),$C$8-O43)</f>
        <v>912.26205906877601</v>
      </c>
      <c r="P44" s="15">
        <f>O45/$C$14</f>
        <v>46308.208262256012</v>
      </c>
      <c r="Q44" s="16">
        <f>MAX((R43*$C$15+R45*(1-$C$15))*EXP(-$C$9*$C$13),$C$8-Q43)</f>
        <v>847.10122229055253</v>
      </c>
      <c r="R44" s="15">
        <f>Q45/$C$14</f>
        <v>46308.208262256012</v>
      </c>
      <c r="S44" s="16">
        <f>MAX((T43*$C$15+T45*(1-$C$15))*EXP(-$C$9*$C$13),$C$8-S43)</f>
        <v>781.80451185362676</v>
      </c>
      <c r="T44" s="15">
        <f>S45/$C$14</f>
        <v>46308.208262256012</v>
      </c>
      <c r="U44" s="16">
        <f>MAX((V43*$C$15+V45*(1-$C$15))*EXP(-$C$9*$C$13),$C$8-U43)</f>
        <v>716.46998338827018</v>
      </c>
      <c r="V44" s="15">
        <f>U45/$C$14</f>
        <v>46308.208262256012</v>
      </c>
      <c r="W44" s="16">
        <f>MAX((X43*$C$15+X45*(1-$C$15))*EXP(-$C$9*$C$13),$C$8-W43)</f>
        <v>651.22052193038735</v>
      </c>
      <c r="X44" s="15">
        <f>W45/$C$14</f>
        <v>46308.208262256012</v>
      </c>
      <c r="Y44" s="16">
        <f>MAX((Z43*$C$15+Z45*(1-$C$15))*EXP(-$C$9*$C$13),$C$8-Y43)</f>
        <v>586.21049231162874</v>
      </c>
      <c r="Z44" s="15">
        <f>Y45/$C$14</f>
        <v>46308.208262256012</v>
      </c>
      <c r="AA44" s="16">
        <f>MAX((AB43*$C$15+AB45*(1-$C$15))*EXP(-$C$9*$C$13),$C$8-AA43)</f>
        <v>521.63444908889835</v>
      </c>
      <c r="AB44" s="15">
        <f>AA45/$C$14</f>
        <v>46308.208262256012</v>
      </c>
      <c r="AC44" s="16">
        <f>MAX((AD43*$C$15+AD45*(1-$C$15))*EXP(-$C$9*$C$13),$C$8-AC43)</f>
        <v>457.7386632768243</v>
      </c>
      <c r="AD44" s="15">
        <f>AC45/$C$14</f>
        <v>46308.208262256012</v>
      </c>
      <c r="AE44" s="16">
        <f>MAX((AF43*$C$15+AF45*(1-$C$15))*EXP(-$C$9*$C$13),$C$8-AE43)</f>
        <v>394.83652903867534</v>
      </c>
      <c r="AF44" s="15">
        <f>AE45/$C$14</f>
        <v>46308.208262256012</v>
      </c>
      <c r="AG44" s="16">
        <f>MAX((AH43*$C$15+AH45*(1-$C$15))*EXP(-$C$9*$C$13),$C$8-AG43)</f>
        <v>333.32924727001262</v>
      </c>
      <c r="AH44" s="15">
        <f>AG45/$C$14</f>
        <v>46308.208262256012</v>
      </c>
      <c r="AI44" s="16">
        <f>MAX((AJ43*$C$15+AJ45*(1-$C$15))*EXP(-$C$9*$C$13),$C$8-AI43)</f>
        <v>273.7338300283904</v>
      </c>
      <c r="AJ44" s="15">
        <f>AI45/$C$14</f>
        <v>46308.208262256012</v>
      </c>
      <c r="AK44" s="16">
        <f>MAX((AL43*$C$15+AL45*(1-$C$15))*EXP(-$C$9*$C$13),$C$8-AK43)</f>
        <v>216.72098306978097</v>
      </c>
      <c r="AL44" s="15">
        <f>AK45/$C$14</f>
        <v>46308.208262256012</v>
      </c>
      <c r="AM44" s="16">
        <f>MAX((AN43*$C$15+AN45*(1-$C$15))*EXP(-$C$9*$C$13),$C$8-AM43)</f>
        <v>163.16605349630854</v>
      </c>
      <c r="AN44" s="15">
        <f>AM45/$C$14</f>
        <v>46308.208262256012</v>
      </c>
      <c r="AO44" s="16">
        <f>MAX((AP43*$C$15+AP45*(1-$C$15))*EXP(-$C$9*$C$13),$C$8-AO43)</f>
        <v>114.2153783170908</v>
      </c>
      <c r="AP44" s="15">
        <f>AO45/$C$14</f>
        <v>46308.208262256012</v>
      </c>
      <c r="AQ44" s="16">
        <f>MAX((AR43*$C$15+AR45*(1-$C$15))*EXP(-$C$9*$C$13),$C$8-AQ43)</f>
        <v>71.366080147550164</v>
      </c>
      <c r="AR44" s="15">
        <f>AQ45/$C$14</f>
        <v>46308.208262256012</v>
      </c>
      <c r="AS44" s="16">
        <f>MAX((AT43*$C$15+AT45*(1-$C$15))*EXP(-$C$9*$C$13),$C$8-AS43)</f>
        <v>36.536417683708876</v>
      </c>
      <c r="AT44" s="15">
        <f>AS45/$C$14</f>
        <v>46308.208262256012</v>
      </c>
      <c r="AU44" s="16">
        <f>MAX((AV43*$C$15+AV45*(1-$C$15))*EXP(-$C$9*$C$13),$C$8-AU43)</f>
        <v>12.028105289354091</v>
      </c>
      <c r="AV44" s="15">
        <f>AU45/$C$14</f>
        <v>46308.208262256012</v>
      </c>
      <c r="AW44" s="16">
        <f>MAX((AX43*$C$15+AX45*(1-$C$15))*EXP(-$C$9*$C$13),$C$8-AW43)</f>
        <v>0</v>
      </c>
      <c r="AX44" s="15">
        <f>AW45/$C$14</f>
        <v>46308.208262256012</v>
      </c>
      <c r="AY44" s="16">
        <f>MAX((AZ43*$C$15+AZ45*(1-$C$15))*EXP(-$C$9*$C$13),$C$8-AY43)</f>
        <v>0</v>
      </c>
      <c r="AZ44" s="15">
        <f>AY45/$C$14</f>
        <v>46308.208262256012</v>
      </c>
      <c r="BA44" s="16">
        <f>MAX((BB43*$C$15+BB45*(1-$C$15))*EXP(-$C$9*$C$13),$C$8-BA43)</f>
        <v>0</v>
      </c>
      <c r="BB44" s="15">
        <f>BA45/$C$14</f>
        <v>46308.208262256012</v>
      </c>
      <c r="BD44" s="55">
        <f t="shared" si="14"/>
        <v>51986.133333333419</v>
      </c>
      <c r="BE44" s="48">
        <v>704.48668655825622</v>
      </c>
      <c r="BF44" s="48">
        <v>682.15315763372189</v>
      </c>
      <c r="BG44" s="48">
        <v>659.87138656577849</v>
      </c>
      <c r="BH44" s="48">
        <v>637.64922137348526</v>
      </c>
      <c r="BI44" s="48">
        <v>615.49505697111954</v>
      </c>
      <c r="BJ44" s="48">
        <v>593.41787522641266</v>
      </c>
      <c r="BK44" s="48">
        <v>571.42728807407445</v>
      </c>
      <c r="BL44" s="48">
        <v>549.53358389093637</v>
      </c>
      <c r="BM44" s="48">
        <v>527.7477773415643</v>
      </c>
      <c r="BN44" s="48">
        <v>506.08166290116111</v>
      </c>
      <c r="BO44" s="48">
        <v>484.54787225342153</v>
      </c>
      <c r="BP44" s="48">
        <v>463.15993574270766</v>
      </c>
      <c r="BQ44" s="48">
        <v>441.93234802827931</v>
      </c>
      <c r="BR44" s="48">
        <v>420.88063804036062</v>
      </c>
      <c r="BS44" s="48">
        <v>400.02144326770821</v>
      </c>
      <c r="BT44" s="48">
        <v>379.37258830808156</v>
      </c>
      <c r="BU44" s="48">
        <v>358.95316747763246</v>
      </c>
      <c r="BV44" s="48">
        <v>338.78363109188763</v>
      </c>
      <c r="BW44" s="48">
        <v>318.88587478439689</v>
      </c>
      <c r="BX44" s="48">
        <v>299.28333090006652</v>
      </c>
      <c r="BY44" s="48">
        <v>280.00106056339274</v>
      </c>
      <c r="BZ44" s="48">
        <v>261.06584444556177</v>
      </c>
      <c r="CA44" s="48">
        <v>242.50626949849132</v>
      </c>
      <c r="CB44" s="48">
        <v>224.35280793849421</v>
      </c>
      <c r="CC44" s="48">
        <v>206.63788348560828</v>
      </c>
      <c r="CD44" s="48">
        <v>189.39591822159525</v>
      </c>
      <c r="CE44" s="48">
        <v>172.6633513289012</v>
      </c>
      <c r="CF44" s="48">
        <v>156.47861830794247</v>
      </c>
      <c r="CG44" s="48">
        <v>140.88207592120372</v>
      </c>
      <c r="CH44" s="48">
        <v>125.91585395620021</v>
      </c>
      <c r="CI44" s="48">
        <v>111.62360982748363</v>
      </c>
      <c r="CJ44" s="48">
        <v>98.050155995094556</v>
      </c>
      <c r="CK44" s="48">
        <v>85.240923224752422</v>
      </c>
      <c r="CL44" s="48">
        <v>73.241215141064401</v>
      </c>
      <c r="CM44" s="48">
        <v>62.095202017638421</v>
      </c>
      <c r="CN44" s="48">
        <v>51.844595669658297</v>
      </c>
      <c r="CO44" s="48">
        <v>42.526945101351842</v>
      </c>
      <c r="CP44" s="48">
        <v>34.173498273643609</v>
      </c>
      <c r="CQ44" s="48">
        <v>26.806595336395482</v>
      </c>
      <c r="CR44" s="48">
        <v>20.436602151991181</v>
      </c>
      <c r="CS44" s="48">
        <v>15.058472175659555</v>
      </c>
      <c r="CT44" s="48">
        <v>10.648153734169162</v>
      </c>
      <c r="CU44" s="48">
        <v>7.1592497370706827</v>
      </c>
      <c r="CV44" s="48">
        <v>4.5205862194902284</v>
      </c>
      <c r="CW44" s="48">
        <v>2.6356212538886554</v>
      </c>
      <c r="CX44" s="48">
        <v>1.3848325154736851</v>
      </c>
      <c r="CY44" s="48">
        <v>0.63217551361751556</v>
      </c>
      <c r="CZ44" s="48">
        <v>0.23612894844741192</v>
      </c>
      <c r="DA44" s="48">
        <v>6.4464198421683036E-2</v>
      </c>
      <c r="DB44" s="48">
        <v>9.6993005603005639E-3</v>
      </c>
      <c r="DC44" s="49">
        <f t="shared" si="15"/>
        <v>0</v>
      </c>
      <c r="DD44" s="5">
        <f t="shared" si="10"/>
        <v>46</v>
      </c>
      <c r="DE44" s="30" cm="1">
        <f t="array" ref="DE44">1/2*(rf-q)*DD44*dt-1/2*(sigma^2)*(DD44^2)*dt</f>
        <v>-1.6008886602739725</v>
      </c>
      <c r="DF44" s="25">
        <f t="shared" si="11"/>
        <v>4.214293484931507</v>
      </c>
      <c r="DG44" s="6">
        <f t="shared" si="12"/>
        <v>-1.6131385232876709</v>
      </c>
      <c r="DH44" s="25">
        <f t="shared" si="13"/>
        <v>749.28013981766208</v>
      </c>
      <c r="DI44">
        <v>771.72678088357031</v>
      </c>
      <c r="DJ44" s="27">
        <f t="shared" si="16"/>
        <v>771.72678088357031</v>
      </c>
    </row>
    <row r="45" spans="4:114" x14ac:dyDescent="0.25">
      <c r="D45" s="60" t="s">
        <v>13</v>
      </c>
      <c r="E45" s="61"/>
      <c r="F45" s="61"/>
      <c r="G45" s="61">
        <f>D53</f>
        <v>6271.5572127093237</v>
      </c>
      <c r="H45" s="62"/>
      <c r="K45" s="15">
        <f>J46/$C$14</f>
        <v>44538.142244836672</v>
      </c>
      <c r="L45" s="16">
        <f>MAX((M44*$C$15+M46*(1-$C$15))*EXP(-$C$9*$C$13),$C$8-L44)</f>
        <v>1308.0532193966444</v>
      </c>
      <c r="M45" s="15">
        <f>L46/$C$14</f>
        <v>44538.142244836672</v>
      </c>
      <c r="N45" s="16">
        <f>MAX((O44*$C$15+O46*(1-$C$15))*EXP(-$C$9*$C$13),$C$8-N44)</f>
        <v>1235.4795302902128</v>
      </c>
      <c r="O45" s="15">
        <f>N46/$C$14</f>
        <v>44538.142244836672</v>
      </c>
      <c r="P45" s="16">
        <f>MAX((Q44*$C$15+Q46*(1-$C$15))*EXP(-$C$9*$C$13),$C$8-P44)</f>
        <v>1162.1317766986281</v>
      </c>
      <c r="Q45" s="15">
        <f>P46/$C$14</f>
        <v>44538.142244836672</v>
      </c>
      <c r="R45" s="16">
        <f>MAX((S44*$C$15+S46*(1-$C$15))*EXP(-$C$9*$C$13),$C$8-R44)</f>
        <v>1088.0284252034241</v>
      </c>
      <c r="S45" s="15">
        <f>R46/$C$14</f>
        <v>44538.142244836672</v>
      </c>
      <c r="T45" s="16">
        <f>MAX((U44*$C$15+U46*(1-$C$15))*EXP(-$C$9*$C$13),$C$8-T44)</f>
        <v>1013.1988848520746</v>
      </c>
      <c r="U45" s="15">
        <f>T46/$C$14</f>
        <v>44538.142244836672</v>
      </c>
      <c r="V45" s="16">
        <f>MAX((W44*$C$15+W46*(1-$C$15))*EXP(-$C$9*$C$13),$C$8-V44)</f>
        <v>937.68702206675505</v>
      </c>
      <c r="W45" s="15">
        <f>V46/$C$14</f>
        <v>44538.142244836672</v>
      </c>
      <c r="X45" s="16">
        <f>MAX((Y44*$C$15+Y46*(1-$C$15))*EXP(-$C$9*$C$13),$C$8-X44)</f>
        <v>861.55590353134824</v>
      </c>
      <c r="Y45" s="15">
        <f>X46/$C$14</f>
        <v>44538.142244836672</v>
      </c>
      <c r="Z45" s="16">
        <f>MAX((AA44*$C$15+AA46*(1-$C$15))*EXP(-$C$9*$C$13),$C$8-Z44)</f>
        <v>784.89428166109383</v>
      </c>
      <c r="AA45" s="15">
        <f>Z46/$C$14</f>
        <v>44538.142244836672</v>
      </c>
      <c r="AB45" s="16">
        <f>MAX((AC44*$C$15+AC46*(1-$C$15))*EXP(-$C$9*$C$13),$C$8-AB44)</f>
        <v>707.82551350955521</v>
      </c>
      <c r="AC45" s="15">
        <f>AB46/$C$14</f>
        <v>44538.142244836672</v>
      </c>
      <c r="AD45" s="16">
        <f>MAX((AE44*$C$15+AE46*(1-$C$15))*EXP(-$C$9*$C$13),$C$8-AD44)</f>
        <v>630.52002978943108</v>
      </c>
      <c r="AE45" s="15">
        <f>AD46/$C$14</f>
        <v>44538.142244836672</v>
      </c>
      <c r="AF45" s="16">
        <f>MAX((AG44*$C$15+AG46*(1-$C$15))*EXP(-$C$9*$C$13),$C$8-AF44)</f>
        <v>553.21309852599325</v>
      </c>
      <c r="AG45" s="15">
        <f>AF46/$C$14</f>
        <v>44538.142244836672</v>
      </c>
      <c r="AH45" s="16">
        <f>MAX((AI44*$C$15+AI46*(1-$C$15))*EXP(-$C$9*$C$13),$C$8-AH44)</f>
        <v>476.23037039119868</v>
      </c>
      <c r="AI45" s="15">
        <f>AH46/$C$14</f>
        <v>44538.142244836672</v>
      </c>
      <c r="AJ45" s="16">
        <f>MAX((AK44*$C$15+AK46*(1-$C$15))*EXP(-$C$9*$C$13),$C$8-AJ44)</f>
        <v>400.02547539252117</v>
      </c>
      <c r="AK45" s="15">
        <f>AJ46/$C$14</f>
        <v>44538.142244836672</v>
      </c>
      <c r="AL45" s="16">
        <f>MAX((AM44*$C$15+AM46*(1-$C$15))*EXP(-$C$9*$C$13),$C$8-AL44)</f>
        <v>325.23617606339968</v>
      </c>
      <c r="AM45" s="15">
        <f>AL46/$C$14</f>
        <v>44538.142244836672</v>
      </c>
      <c r="AN45" s="16">
        <f>MAX((AO44*$C$15+AO46*(1-$C$15))*EXP(-$C$9*$C$13),$C$8-AN44)</f>
        <v>252.77017240414594</v>
      </c>
      <c r="AO45" s="15">
        <f>AN46/$C$14</f>
        <v>44538.142244836672</v>
      </c>
      <c r="AP45" s="16">
        <f>MAX((AQ44*$C$15+AQ46*(1-$C$15))*EXP(-$C$9*$C$13),$C$8-AP44)</f>
        <v>183.93788020267868</v>
      </c>
      <c r="AQ45" s="15">
        <f>AP46/$C$14</f>
        <v>44538.142244836672</v>
      </c>
      <c r="AR45" s="16">
        <f>MAX((AS44*$C$15+AS46*(1-$C$15))*EXP(-$C$9*$C$13),$C$8-AR44)</f>
        <v>120.66160030933173</v>
      </c>
      <c r="AS45" s="15">
        <f>AR46/$C$14</f>
        <v>44538.142244836672</v>
      </c>
      <c r="AT45" s="16">
        <f>MAX((AU44*$C$15+AU46*(1-$C$15))*EXP(-$C$9*$C$13),$C$8-AT44)</f>
        <v>65.80006864582289</v>
      </c>
      <c r="AU45" s="15">
        <f>AT46/$C$14</f>
        <v>44538.142244836672</v>
      </c>
      <c r="AV45" s="16">
        <f>MAX((AW44*$C$15+AW46*(1-$C$15))*EXP(-$C$9*$C$13),$C$8-AV44)</f>
        <v>23.602737804934069</v>
      </c>
      <c r="AW45" s="15">
        <f>AV46/$C$14</f>
        <v>44538.142244836672</v>
      </c>
      <c r="AX45" s="16">
        <f>MAX((AY44*$C$15+AY46*(1-$C$15))*EXP(-$C$9*$C$13),$C$8-AX44)</f>
        <v>0</v>
      </c>
      <c r="AY45" s="15">
        <f>AX46/$C$14</f>
        <v>44538.142244836672</v>
      </c>
      <c r="AZ45" s="16">
        <f>MAX((BA44*$C$15+BA46*(1-$C$15))*EXP(-$C$9*$C$13),$C$8-AZ44)</f>
        <v>0</v>
      </c>
      <c r="BA45" s="15">
        <f>AZ46/$C$14</f>
        <v>44538.142244836672</v>
      </c>
      <c r="BB45" s="16">
        <f>MAX(0,$C$8-BB44)</f>
        <v>0</v>
      </c>
      <c r="BD45" s="55">
        <f t="shared" si="14"/>
        <v>50856.000000000087</v>
      </c>
      <c r="BE45" s="48">
        <v>816.82377199312509</v>
      </c>
      <c r="BF45" s="48">
        <v>792.63507732256119</v>
      </c>
      <c r="BG45" s="48">
        <v>768.45785839443477</v>
      </c>
      <c r="BH45" s="48">
        <v>744.29895488798934</v>
      </c>
      <c r="BI45" s="48">
        <v>720.1657441955756</v>
      </c>
      <c r="BJ45" s="48">
        <v>696.06618523001214</v>
      </c>
      <c r="BK45" s="48">
        <v>672.00886610269015</v>
      </c>
      <c r="BL45" s="48">
        <v>648.00305602286198</v>
      </c>
      <c r="BM45" s="48">
        <v>624.05876179717791</v>
      </c>
      <c r="BN45" s="48">
        <v>600.18678933730894</v>
      </c>
      <c r="BO45" s="48">
        <v>576.39881061087078</v>
      </c>
      <c r="BP45" s="48">
        <v>552.70743649511724</v>
      </c>
      <c r="BQ45" s="48">
        <v>529.12629601117158</v>
      </c>
      <c r="BR45" s="48">
        <v>505.67012242647132</v>
      </c>
      <c r="BS45" s="48">
        <v>482.35484671031259</v>
      </c>
      <c r="BT45" s="48">
        <v>459.19769880785998</v>
      </c>
      <c r="BU45" s="48">
        <v>436.21731715393787</v>
      </c>
      <c r="BV45" s="48">
        <v>413.43386677129524</v>
      </c>
      <c r="BW45" s="48">
        <v>390.86916617461435</v>
      </c>
      <c r="BX45" s="48">
        <v>368.54682311370891</v>
      </c>
      <c r="BY45" s="48">
        <v>346.49237891157134</v>
      </c>
      <c r="BZ45" s="48">
        <v>324.73346075217034</v>
      </c>
      <c r="CA45" s="48">
        <v>303.29994070445895</v>
      </c>
      <c r="CB45" s="48">
        <v>282.22409947510607</v>
      </c>
      <c r="CC45" s="48">
        <v>261.54079178716262</v>
      </c>
      <c r="CD45" s="48">
        <v>241.28760878671622</v>
      </c>
      <c r="CE45" s="48">
        <v>221.50503085576622</v>
      </c>
      <c r="CF45" s="48">
        <v>202.23656149042313</v>
      </c>
      <c r="CG45" s="48">
        <v>183.52882927649662</v>
      </c>
      <c r="CH45" s="48">
        <v>165.43164019450927</v>
      </c>
      <c r="CI45" s="48">
        <v>147.99795619609225</v>
      </c>
      <c r="CJ45" s="48">
        <v>131.28376785556853</v>
      </c>
      <c r="CK45" s="48">
        <v>115.34781854976073</v>
      </c>
      <c r="CL45" s="48">
        <v>100.25112476148571</v>
      </c>
      <c r="CM45" s="48">
        <v>86.056221666213361</v>
      </c>
      <c r="CN45" s="48">
        <v>72.826045580717093</v>
      </c>
      <c r="CO45" s="48">
        <v>60.62234656282368</v>
      </c>
      <c r="CP45" s="48">
        <v>49.503508710774796</v>
      </c>
      <c r="CQ45" s="48">
        <v>39.52164887200346</v>
      </c>
      <c r="CR45" s="48">
        <v>30.718877775370036</v>
      </c>
      <c r="CS45" s="48">
        <v>23.122659363999805</v>
      </c>
      <c r="CT45" s="48">
        <v>16.740321585336108</v>
      </c>
      <c r="CU45" s="48">
        <v>11.552990869837595</v>
      </c>
      <c r="CV45" s="48">
        <v>7.5095802467178192</v>
      </c>
      <c r="CW45" s="48">
        <v>4.5219746393731004</v>
      </c>
      <c r="CX45" s="48">
        <v>2.4631761612313978</v>
      </c>
      <c r="CY45" s="48">
        <v>1.1706988223142587</v>
      </c>
      <c r="CZ45" s="48">
        <v>0.45749133213859861</v>
      </c>
      <c r="DA45" s="48">
        <v>0.131400048553865</v>
      </c>
      <c r="DB45" s="48">
        <v>2.0932784322425822E-2</v>
      </c>
      <c r="DC45" s="49">
        <f t="shared" si="15"/>
        <v>0</v>
      </c>
      <c r="DD45" s="5">
        <f t="shared" si="10"/>
        <v>45</v>
      </c>
      <c r="DE45" s="30" cm="1">
        <f t="array" ref="DE45">1/2*(rf-q)*DD45*dt-1/2*(sigma^2)*(DD45^2)*dt</f>
        <v>-1.5319111130136982</v>
      </c>
      <c r="DF45" s="25">
        <f t="shared" si="11"/>
        <v>4.0760720890410953</v>
      </c>
      <c r="DG45" s="6">
        <f t="shared" si="12"/>
        <v>-1.5438946746575342</v>
      </c>
      <c r="DH45" s="25">
        <f t="shared" si="13"/>
        <v>865.21068010263343</v>
      </c>
      <c r="DI45">
        <v>889.39755639063367</v>
      </c>
      <c r="DJ45" s="27">
        <f t="shared" si="16"/>
        <v>889.39755639063367</v>
      </c>
    </row>
    <row r="46" spans="4:114" x14ac:dyDescent="0.25">
      <c r="J46" s="15">
        <f>I47/$C$14</f>
        <v>42835.734507095935</v>
      </c>
      <c r="K46" s="16">
        <f>MAX((L45*$C$15+L47*(1-$C$15))*EXP(-$C$9*$C$13),$C$8-K45)</f>
        <v>1705.6095736993348</v>
      </c>
      <c r="L46" s="15">
        <f>K47/$C$14</f>
        <v>42835.734507095935</v>
      </c>
      <c r="M46" s="16">
        <f>MAX((N45*$C$15+N47*(1-$C$15))*EXP(-$C$9*$C$13),$C$8-M45)</f>
        <v>1626.9351338788726</v>
      </c>
      <c r="N46" s="15">
        <f>M47/$C$14</f>
        <v>42835.734507095935</v>
      </c>
      <c r="O46" s="16">
        <f>MAX((P45*$C$15+P47*(1-$C$15))*EXP(-$C$9*$C$13),$C$8-O45)</f>
        <v>1546.9879988457762</v>
      </c>
      <c r="P46" s="15">
        <f>O47/$C$14</f>
        <v>42835.734507095935</v>
      </c>
      <c r="Q46" s="16">
        <f>MAX((R45*$C$15+R47*(1-$C$15))*EXP(-$C$9*$C$13),$C$8-Q45)</f>
        <v>1465.7279380907901</v>
      </c>
      <c r="R46" s="15">
        <f>Q47/$C$14</f>
        <v>42835.734507095935</v>
      </c>
      <c r="S46" s="16">
        <f>MAX((T45*$C$15+T47*(1-$C$15))*EXP(-$C$9*$C$13),$C$8-S45)</f>
        <v>1383.1158484785515</v>
      </c>
      <c r="T46" s="15">
        <f>S47/$C$14</f>
        <v>42835.734507095935</v>
      </c>
      <c r="U46" s="16">
        <f>MAX((V45*$C$15+V47*(1-$C$15))*EXP(-$C$9*$C$13),$C$8-U45)</f>
        <v>1299.1151317586794</v>
      </c>
      <c r="V46" s="15">
        <f>U47/$C$14</f>
        <v>42835.734507095935</v>
      </c>
      <c r="W46" s="16">
        <f>MAX((X45*$C$15+X47*(1-$C$15))*EXP(-$C$9*$C$13),$C$8-W45)</f>
        <v>1213.6936790347129</v>
      </c>
      <c r="X46" s="15">
        <f>W47/$C$14</f>
        <v>42835.734507095935</v>
      </c>
      <c r="Y46" s="16">
        <f>MAX((Z45*$C$15+Z47*(1-$C$15))*EXP(-$C$9*$C$13),$C$8-Y45)</f>
        <v>1126.8267815377562</v>
      </c>
      <c r="Z46" s="15">
        <f>Y47/$C$14</f>
        <v>42835.734507095935</v>
      </c>
      <c r="AA46" s="16">
        <f>MAX((AB45*$C$15+AB47*(1-$C$15))*EXP(-$C$9*$C$13),$C$8-AA45)</f>
        <v>1038.5014800517295</v>
      </c>
      <c r="AB46" s="15">
        <f>AA47/$C$14</f>
        <v>42835.734507095935</v>
      </c>
      <c r="AC46" s="16">
        <f>MAX((AD45*$C$15+AD47*(1-$C$15))*EXP(-$C$9*$C$13),$C$8-AC45)</f>
        <v>948.72298033535549</v>
      </c>
      <c r="AD46" s="15">
        <f>AC47/$C$14</f>
        <v>42835.734507095935</v>
      </c>
      <c r="AE46" s="16">
        <f>MAX((AF45*$C$15+AF47*(1-$C$15))*EXP(-$C$9*$C$13),$C$8-AE45)</f>
        <v>857.52430327614854</v>
      </c>
      <c r="AF46" s="15">
        <f>AE47/$C$14</f>
        <v>42835.734507095935</v>
      </c>
      <c r="AG46" s="16">
        <f>MAX((AH45*$C$15+AH47*(1-$C$15))*EXP(-$C$9*$C$13),$C$8-AG45)</f>
        <v>764.98124950524505</v>
      </c>
      <c r="AH46" s="15">
        <f>AG47/$C$14</f>
        <v>42835.734507095935</v>
      </c>
      <c r="AI46" s="16">
        <f>MAX((AJ45*$C$15+AJ47*(1-$C$15))*EXP(-$C$9*$C$13),$C$8-AI45)</f>
        <v>671.23559297865972</v>
      </c>
      <c r="AJ46" s="15">
        <f>AI47/$C$14</f>
        <v>42835.734507095935</v>
      </c>
      <c r="AK46" s="16">
        <f>MAX((AL45*$C$15+AL47*(1-$C$15))*EXP(-$C$9*$C$13),$C$8-AK45)</f>
        <v>576.53242238866233</v>
      </c>
      <c r="AL46" s="15">
        <f>AK47/$C$14</f>
        <v>42835.734507095935</v>
      </c>
      <c r="AM46" s="16">
        <f>MAX((AN45*$C$15+AN47*(1-$C$15))*EXP(-$C$9*$C$13),$C$8-AM45)</f>
        <v>481.28133026207121</v>
      </c>
      <c r="AN46" s="15">
        <f>AM47/$C$14</f>
        <v>42835.734507095935</v>
      </c>
      <c r="AO46" s="16">
        <f>MAX((AP45*$C$15+AP47*(1-$C$15))*EXP(-$C$9*$C$13),$C$8-AO45)</f>
        <v>386.16097542101926</v>
      </c>
      <c r="AP46" s="15">
        <f>AO47/$C$14</f>
        <v>42835.734507095935</v>
      </c>
      <c r="AQ46" s="16">
        <f>MAX((AR45*$C$15+AR47*(1-$C$15))*EXP(-$C$9*$C$13),$C$8-AQ45)</f>
        <v>292.30288811483803</v>
      </c>
      <c r="AR46" s="15">
        <f>AQ47/$C$14</f>
        <v>42835.734507095935</v>
      </c>
      <c r="AS46" s="16">
        <f>MAX((AT45*$C$15+AT47*(1-$C$15))*EXP(-$C$9*$C$13),$C$8-AS45)</f>
        <v>201.63426123185766</v>
      </c>
      <c r="AT46" s="15">
        <f>AS47/$C$14</f>
        <v>42835.734507095935</v>
      </c>
      <c r="AU46" s="16">
        <f>MAX((AV45*$C$15+AV47*(1-$C$15))*EXP(-$C$9*$C$13),$C$8-AU45)</f>
        <v>117.5510545578606</v>
      </c>
      <c r="AV46" s="15">
        <f>AU47/$C$14</f>
        <v>42835.734507095935</v>
      </c>
      <c r="AW46" s="16">
        <f>MAX((AX45*$C$15+AX47*(1-$C$15))*EXP(-$C$9*$C$13),$C$8-AW45)</f>
        <v>46.315626483710268</v>
      </c>
      <c r="AX46" s="15">
        <f>AW47/$C$14</f>
        <v>42835.734507095935</v>
      </c>
      <c r="AY46" s="16">
        <f>MAX((AZ45*$C$15+AZ47*(1-$C$15))*EXP(-$C$9*$C$13),$C$8-AY45)</f>
        <v>0</v>
      </c>
      <c r="AZ46" s="15">
        <f>AY47/$C$14</f>
        <v>42835.734507095935</v>
      </c>
      <c r="BA46" s="16">
        <f>MAX((BB45*$C$15+BB47*(1-$C$15))*EXP(-$C$9*$C$13),$C$8-BA45)</f>
        <v>0</v>
      </c>
      <c r="BB46" s="15">
        <f>BA47/$C$14</f>
        <v>42835.734507095935</v>
      </c>
      <c r="BD46" s="55">
        <f t="shared" si="14"/>
        <v>49725.866666666756</v>
      </c>
      <c r="BE46" s="48">
        <v>945.97150272546946</v>
      </c>
      <c r="BF46" s="48">
        <v>919.90143405325477</v>
      </c>
      <c r="BG46" s="48">
        <v>893.79778109083009</v>
      </c>
      <c r="BH46" s="48">
        <v>867.66601747071422</v>
      </c>
      <c r="BI46" s="48">
        <v>841.51211678152231</v>
      </c>
      <c r="BJ46" s="48">
        <v>815.34259763465479</v>
      </c>
      <c r="BK46" s="48">
        <v>789.16457319547919</v>
      </c>
      <c r="BL46" s="48">
        <v>762.98580565605312</v>
      </c>
      <c r="BM46" s="48">
        <v>736.81476618127419</v>
      </c>
      <c r="BN46" s="48">
        <v>710.66070092110954</v>
      </c>
      <c r="BO46" s="48">
        <v>684.53370374774988</v>
      </c>
      <c r="BP46" s="48">
        <v>658.44479644758746</v>
      </c>
      <c r="BQ46" s="48">
        <v>632.40601717205516</v>
      </c>
      <c r="BR46" s="48">
        <v>606.43051802767104</v>
      </c>
      <c r="BS46" s="48">
        <v>580.53267276216502</v>
      </c>
      <c r="BT46" s="48">
        <v>554.72819557853029</v>
      </c>
      <c r="BU46" s="48">
        <v>529.03427217897558</v>
      </c>
      <c r="BV46" s="48">
        <v>503.46970420168896</v>
      </c>
      <c r="BW46" s="48">
        <v>478.05506825624235</v>
      </c>
      <c r="BX46" s="48">
        <v>452.81289077664326</v>
      </c>
      <c r="BY46" s="48">
        <v>427.76783987374199</v>
      </c>
      <c r="BZ46" s="48">
        <v>402.94693525419012</v>
      </c>
      <c r="CA46" s="48">
        <v>378.3797770407478</v>
      </c>
      <c r="CB46" s="48">
        <v>354.09879392428695</v>
      </c>
      <c r="CC46" s="48">
        <v>330.13951042613382</v>
      </c>
      <c r="CD46" s="48">
        <v>306.54083204814907</v>
      </c>
      <c r="CE46" s="48">
        <v>283.3453455950239</v>
      </c>
      <c r="CF46" s="48">
        <v>260.59962977190997</v>
      </c>
      <c r="CG46" s="48">
        <v>238.35456801799583</v>
      </c>
      <c r="CH46" s="48">
        <v>216.66565105995187</v>
      </c>
      <c r="CI46" s="48">
        <v>195.5932503565914</v>
      </c>
      <c r="CJ46" s="48">
        <v>175.2028347991309</v>
      </c>
      <c r="CK46" s="48">
        <v>155.56509088999533</v>
      </c>
      <c r="CL46" s="48">
        <v>136.75589012157366</v>
      </c>
      <c r="CM46" s="48">
        <v>118.85602524694849</v>
      </c>
      <c r="CN46" s="48">
        <v>101.9506084217581</v>
      </c>
      <c r="CO46" s="48">
        <v>86.127988036537459</v>
      </c>
      <c r="CP46" s="48">
        <v>71.477997884005362</v>
      </c>
      <c r="CQ46" s="48">
        <v>58.089305288769253</v>
      </c>
      <c r="CR46" s="48">
        <v>46.045582614460663</v>
      </c>
      <c r="CS46" s="48">
        <v>35.420207746537422</v>
      </c>
      <c r="CT46" s="48">
        <v>26.26923880813349</v>
      </c>
      <c r="CU46" s="48">
        <v>18.622566020185115</v>
      </c>
      <c r="CV46" s="48">
        <v>12.473508842481703</v>
      </c>
      <c r="CW46" s="48">
        <v>7.7678115487732429</v>
      </c>
      <c r="CX46" s="48">
        <v>4.3940860378533122</v>
      </c>
      <c r="CY46" s="48">
        <v>2.1792054544634798</v>
      </c>
      <c r="CZ46" s="48">
        <v>0.89353054734817083</v>
      </c>
      <c r="DA46" s="48">
        <v>0.27099310782232278</v>
      </c>
      <c r="DB46" s="48">
        <v>4.5922272400662205E-2</v>
      </c>
      <c r="DC46" s="49">
        <f t="shared" si="15"/>
        <v>0</v>
      </c>
      <c r="DD46" s="5">
        <f t="shared" si="10"/>
        <v>44</v>
      </c>
      <c r="DE46" s="30" cm="1">
        <f t="array" ref="DE46">1/2*(rf-q)*DD46*dt-1/2*(sigma^2)*(DD46^2)*dt</f>
        <v>-1.4644524821917806</v>
      </c>
      <c r="DF46" s="25">
        <f t="shared" si="11"/>
        <v>3.9408885260273969</v>
      </c>
      <c r="DG46" s="6">
        <f t="shared" si="12"/>
        <v>-1.4761697424657532</v>
      </c>
      <c r="DH46" s="25">
        <f t="shared" si="13"/>
        <v>997.99124991482904</v>
      </c>
      <c r="DI46">
        <v>1023.9321295737673</v>
      </c>
      <c r="DJ46" s="27">
        <f t="shared" si="16"/>
        <v>1023.9321295737673</v>
      </c>
    </row>
    <row r="47" spans="4:114" x14ac:dyDescent="0.25">
      <c r="I47" s="15">
        <f>H48/$C$14</f>
        <v>41198.398906616501</v>
      </c>
      <c r="J47" s="16">
        <f>MAX((K46*$C$15+K48*(1-$C$15))*EXP(-$C$9*$C$13),$C$8-J46)</f>
        <v>2171.7803653035858</v>
      </c>
      <c r="K47" s="15">
        <f>J48/$C$14</f>
        <v>41198.398906616501</v>
      </c>
      <c r="L47" s="16">
        <f>MAX((M46*$C$15+M48*(1-$C$15))*EXP(-$C$9*$C$13),$C$8-L46)</f>
        <v>2088.8610660696518</v>
      </c>
      <c r="M47" s="15">
        <f>L48/$C$14</f>
        <v>41198.398906616501</v>
      </c>
      <c r="N47" s="16">
        <f>MAX((O46*$C$15+O48*(1-$C$15))*EXP(-$C$9*$C$13),$C$8-N46)</f>
        <v>2004.27796126723</v>
      </c>
      <c r="O47" s="15">
        <f>N48/$C$14</f>
        <v>41198.398906616501</v>
      </c>
      <c r="P47" s="16">
        <f>MAX((Q46*$C$15+Q48*(1-$C$15))*EXP(-$C$9*$C$13),$C$8-P46)</f>
        <v>1917.9419250069948</v>
      </c>
      <c r="Q47" s="15">
        <f>P48/$C$14</f>
        <v>41198.398906616501</v>
      </c>
      <c r="R47" s="16">
        <f>MAX((S46*$C$15+S48*(1-$C$15))*EXP(-$C$9*$C$13),$C$8-R46)</f>
        <v>1829.7562522823268</v>
      </c>
      <c r="S47" s="15">
        <f>R48/$C$14</f>
        <v>41198.398906616501</v>
      </c>
      <c r="T47" s="16">
        <f>MAX((U46*$C$15+U48*(1-$C$15))*EXP(-$C$9*$C$13),$C$8-T46)</f>
        <v>1739.6159261255632</v>
      </c>
      <c r="U47" s="15">
        <f>T48/$C$14</f>
        <v>41198.398906616501</v>
      </c>
      <c r="V47" s="16">
        <f>MAX((W46*$C$15+W48*(1-$C$15))*EXP(-$C$9*$C$13),$C$8-V46)</f>
        <v>1647.4069401401675</v>
      </c>
      <c r="W47" s="15">
        <f>V48/$C$14</f>
        <v>41198.398906616501</v>
      </c>
      <c r="X47" s="16">
        <f>MAX((Y46*$C$15+Y48*(1-$C$15))*EXP(-$C$9*$C$13),$C$8-X46)</f>
        <v>1553.0056310251175</v>
      </c>
      <c r="Y47" s="15">
        <f>X48/$C$14</f>
        <v>41198.398906616501</v>
      </c>
      <c r="Z47" s="16">
        <f>MAX((AA46*$C$15+AA48*(1-$C$15))*EXP(-$C$9*$C$13),$C$8-Z46)</f>
        <v>1456.2781528111236</v>
      </c>
      <c r="AA47" s="15">
        <f>Z48/$C$14</f>
        <v>41198.398906616501</v>
      </c>
      <c r="AB47" s="16">
        <f>MAX((AC46*$C$15+AC48*(1-$C$15))*EXP(-$C$9*$C$13),$C$8-AB46)</f>
        <v>1357.0804337387112</v>
      </c>
      <c r="AC47" s="15">
        <f>AB48/$C$14</f>
        <v>41198.398906616501</v>
      </c>
      <c r="AD47" s="16">
        <f>MAX((AE46*$C$15+AE48*(1-$C$15))*EXP(-$C$9*$C$13),$C$8-AD46)</f>
        <v>1255.2587728236826</v>
      </c>
      <c r="AE47" s="15">
        <f>AD48/$C$14</f>
        <v>41198.398906616501</v>
      </c>
      <c r="AF47" s="16">
        <f>MAX((AG46*$C$15+AG48*(1-$C$15))*EXP(-$C$9*$C$13),$C$8-AF46)</f>
        <v>1150.651691680883</v>
      </c>
      <c r="AG47" s="15">
        <f>AF48/$C$14</f>
        <v>41198.398906616501</v>
      </c>
      <c r="AH47" s="16">
        <f>MAX((AI46*$C$15+AI48*(1-$C$15))*EXP(-$C$9*$C$13),$C$8-AH46)</f>
        <v>1043.0947306717494</v>
      </c>
      <c r="AI47" s="15">
        <f>AH48/$C$14</f>
        <v>41198.398906616501</v>
      </c>
      <c r="AJ47" s="16">
        <f>MAX((AK46*$C$15+AK48*(1-$C$15))*EXP(-$C$9*$C$13),$C$8-AJ46)</f>
        <v>932.4298020349753</v>
      </c>
      <c r="AK47" s="15">
        <f>AJ48/$C$14</f>
        <v>41198.398906616501</v>
      </c>
      <c r="AL47" s="16">
        <f>MAX((AM46*$C$15+AM48*(1-$C$15))*EXP(-$C$9*$C$13),$C$8-AL46)</f>
        <v>818.52445808320647</v>
      </c>
      <c r="AM47" s="15">
        <f>AL48/$C$14</f>
        <v>41198.398906616501</v>
      </c>
      <c r="AN47" s="16">
        <f>MAX((AO46*$C$15+AO48*(1-$C$15))*EXP(-$C$9*$C$13),$C$8-AN46)</f>
        <v>701.3094373355176</v>
      </c>
      <c r="AO47" s="15">
        <f>AN48/$C$14</f>
        <v>41198.398906616501</v>
      </c>
      <c r="AP47" s="16">
        <f>MAX((AQ46*$C$15+AQ48*(1-$C$15))*EXP(-$C$9*$C$13),$C$8-AP46)</f>
        <v>580.85614426288885</v>
      </c>
      <c r="AQ47" s="15">
        <f>AP48/$C$14</f>
        <v>41198.398906616501</v>
      </c>
      <c r="AR47" s="16">
        <f>MAX((AS46*$C$15+AS48*(1-$C$15))*EXP(-$C$9*$C$13),$C$8-AR46)</f>
        <v>457.53615582274824</v>
      </c>
      <c r="AS47" s="15">
        <f>AR48/$C$14</f>
        <v>41198.398906616501</v>
      </c>
      <c r="AT47" s="16">
        <f>MAX((AU46*$C$15+AU48*(1-$C$15))*EXP(-$C$9*$C$13),$C$8-AT46)</f>
        <v>332.38173573543884</v>
      </c>
      <c r="AU47" s="15">
        <f>AT48/$C$14</f>
        <v>41198.398906616501</v>
      </c>
      <c r="AV47" s="16">
        <f>MAX((AW46*$C$15+AW48*(1-$C$15))*EXP(-$C$9*$C$13),$C$8-AV46)</f>
        <v>207.96974890608632</v>
      </c>
      <c r="AW47" s="15">
        <f>AV48/$C$14</f>
        <v>41198.398906616501</v>
      </c>
      <c r="AX47" s="16">
        <f>MAX((AY46*$C$15+AY48*(1-$C$15))*EXP(-$C$9*$C$13),$C$8-AX46)</f>
        <v>90.885103004030782</v>
      </c>
      <c r="AY47" s="15">
        <f>AX48/$C$14</f>
        <v>41198.398906616501</v>
      </c>
      <c r="AZ47" s="16">
        <f>MAX((BA46*$C$15+BA48*(1-$C$15))*EXP(-$C$9*$C$13),$C$8-AZ46)</f>
        <v>0</v>
      </c>
      <c r="BA47" s="15">
        <f>AZ48/$C$14</f>
        <v>41198.398906616501</v>
      </c>
      <c r="BB47" s="16">
        <f>MAX(0,$C$8-BB46)</f>
        <v>0</v>
      </c>
      <c r="BD47" s="55">
        <f t="shared" si="14"/>
        <v>48595.733333333425</v>
      </c>
      <c r="BE47" s="48">
        <v>1094.1265007419893</v>
      </c>
      <c r="BF47" s="48">
        <v>1066.1781972934757</v>
      </c>
      <c r="BG47" s="48">
        <v>1038.1471452194651</v>
      </c>
      <c r="BH47" s="48">
        <v>1010.037100776639</v>
      </c>
      <c r="BI47" s="48">
        <v>981.85225143583864</v>
      </c>
      <c r="BJ47" s="48">
        <v>953.59725917777303</v>
      </c>
      <c r="BK47" s="48">
        <v>925.2773085267844</v>
      </c>
      <c r="BL47" s="48">
        <v>896.89815988997782</v>
      </c>
      <c r="BM47" s="48">
        <v>868.46620884624599</v>
      </c>
      <c r="BN47" s="48">
        <v>839.98855211904117</v>
      </c>
      <c r="BO47" s="48">
        <v>811.47306106876522</v>
      </c>
      <c r="BP47" s="48">
        <v>782.92846365677394</v>
      </c>
      <c r="BQ47" s="48">
        <v>754.36443596194465</v>
      </c>
      <c r="BR47" s="48">
        <v>725.79170447389674</v>
      </c>
      <c r="BS47" s="48">
        <v>697.22216054443322</v>
      </c>
      <c r="BT47" s="48">
        <v>668.66898855241345</v>
      </c>
      <c r="BU47" s="48">
        <v>640.14680952871595</v>
      </c>
      <c r="BV47" s="48">
        <v>611.67184219973024</v>
      </c>
      <c r="BW47" s="48">
        <v>583.26208363925571</v>
      </c>
      <c r="BX47" s="48">
        <v>554.93751196802748</v>
      </c>
      <c r="BY47" s="48">
        <v>526.72031379883538</v>
      </c>
      <c r="BZ47" s="48">
        <v>498.63513937916571</v>
      </c>
      <c r="CA47" s="48">
        <v>470.70938860723027</v>
      </c>
      <c r="CB47" s="48">
        <v>442.97353125418152</v>
      </c>
      <c r="CC47" s="48">
        <v>415.46146475928663</v>
      </c>
      <c r="CD47" s="48">
        <v>388.210912797042</v>
      </c>
      <c r="CE47" s="48">
        <v>361.26386732723523</v>
      </c>
      <c r="CF47" s="48">
        <v>334.6670758556246</v>
      </c>
      <c r="CG47" s="48">
        <v>308.47257388928927</v>
      </c>
      <c r="CH47" s="48">
        <v>282.73825967266049</v>
      </c>
      <c r="CI47" s="48">
        <v>257.52850365733565</v>
      </c>
      <c r="CJ47" s="48">
        <v>232.91477795277206</v>
      </c>
      <c r="CK47" s="48">
        <v>208.97628003375095</v>
      </c>
      <c r="CL47" s="48">
        <v>185.80050857746261</v>
      </c>
      <c r="CM47" s="48">
        <v>163.48372518734988</v>
      </c>
      <c r="CN47" s="48">
        <v>142.13120090661775</v>
      </c>
      <c r="CO47" s="48">
        <v>121.85709703507294</v>
      </c>
      <c r="CP47" s="48">
        <v>102.78376155005229</v>
      </c>
      <c r="CQ47" s="48">
        <v>85.040131626091437</v>
      </c>
      <c r="CR47" s="48">
        <v>68.758818591251256</v>
      </c>
      <c r="CS47" s="48">
        <v>54.071321763005301</v>
      </c>
      <c r="CT47" s="48">
        <v>41.100698257384586</v>
      </c>
      <c r="CU47" s="48">
        <v>29.950969995947027</v>
      </c>
      <c r="CV47" s="48">
        <v>20.692703626468624</v>
      </c>
      <c r="CW47" s="48">
        <v>13.344776608225198</v>
      </c>
      <c r="CX47" s="48">
        <v>7.8536735160594393</v>
      </c>
      <c r="CY47" s="48">
        <v>4.0740994450247685</v>
      </c>
      <c r="CZ47" s="48">
        <v>1.7583201525800702</v>
      </c>
      <c r="DA47" s="48">
        <v>0.56544175457012069</v>
      </c>
      <c r="DB47" s="48">
        <v>0.10247803556311941</v>
      </c>
      <c r="DC47" s="49">
        <f t="shared" si="15"/>
        <v>0</v>
      </c>
      <c r="DD47" s="5">
        <f t="shared" si="10"/>
        <v>43</v>
      </c>
      <c r="DE47" s="30" cm="1">
        <f t="array" ref="DE47">1/2*(rf-q)*DD47*dt-1/2*(sigma^2)*(DD47^2)*dt</f>
        <v>-1.398512767808219</v>
      </c>
      <c r="DF47" s="25">
        <f t="shared" si="11"/>
        <v>3.8087427958904105</v>
      </c>
      <c r="DG47" s="6">
        <f t="shared" si="12"/>
        <v>-1.4099637267123286</v>
      </c>
      <c r="DH47" s="25">
        <f t="shared" si="13"/>
        <v>1149.7617622381686</v>
      </c>
      <c r="DI47">
        <v>1177.4430308627698</v>
      </c>
      <c r="DJ47" s="27">
        <f t="shared" si="16"/>
        <v>1177.4430308627698</v>
      </c>
    </row>
    <row r="48" spans="4:114" x14ac:dyDescent="0.25">
      <c r="H48" s="15">
        <f>G49/$C$14</f>
        <v>39623.648152631373</v>
      </c>
      <c r="I48" s="16">
        <f>MAX((J47*$C$15+J49*(1-$C$15))*EXP(-$C$9*$C$13),$C$8-I47)</f>
        <v>2706.3940770197464</v>
      </c>
      <c r="J48" s="42">
        <f>I49/$C$14</f>
        <v>39623.648152631373</v>
      </c>
      <c r="K48" s="16">
        <f>MAX((L47*$C$15+L49*(1-$C$15))*EXP(-$C$9*$C$13),$C$8-K47)</f>
        <v>2621.26717590116</v>
      </c>
      <c r="L48" s="39">
        <f>K49/$C$14</f>
        <v>39623.648152631373</v>
      </c>
      <c r="M48" s="16">
        <f>MAX((N47*$C$15+N49*(1-$C$15))*EXP(-$C$9*$C$13),$C$8-M47)</f>
        <v>2534.2219462449611</v>
      </c>
      <c r="N48" s="42">
        <f>M49/$C$14</f>
        <v>39623.648152631373</v>
      </c>
      <c r="O48" s="16">
        <f>MAX((P47*$C$15+P49*(1-$C$15))*EXP(-$C$9*$C$13),$C$8-O47)</f>
        <v>2445.1358809794574</v>
      </c>
      <c r="P48" s="15">
        <f>O49/$C$14</f>
        <v>39623.648152631373</v>
      </c>
      <c r="Q48" s="16">
        <f>MAX((R47*$C$15+R49*(1-$C$15))*EXP(-$C$9*$C$13),$C$8-Q47)</f>
        <v>2353.8727812245875</v>
      </c>
      <c r="R48" s="15">
        <f>Q49/$C$14</f>
        <v>39623.648152631373</v>
      </c>
      <c r="S48" s="16">
        <f>MAX((T47*$C$15+T49*(1-$C$15))*EXP(-$C$9*$C$13),$C$8-S47)</f>
        <v>2260.2804913251293</v>
      </c>
      <c r="T48" s="15">
        <f>S49/$C$14</f>
        <v>39623.648152631373</v>
      </c>
      <c r="U48" s="16">
        <f>MAX((V47*$C$15+V49*(1-$C$15))*EXP(-$C$9*$C$13),$C$8-U47)</f>
        <v>2164.188135934548</v>
      </c>
      <c r="V48" s="15">
        <f>U49/$C$14</f>
        <v>39623.648152631373</v>
      </c>
      <c r="W48" s="16">
        <f>MAX((X47*$C$15+X49*(1-$C$15))*EXP(-$C$9*$C$13),$C$8-W47)</f>
        <v>2065.4028820052063</v>
      </c>
      <c r="X48" s="15">
        <f>W49/$C$14</f>
        <v>39623.648152631373</v>
      </c>
      <c r="Y48" s="16">
        <f>MAX((Z47*$C$15+Z49*(1-$C$15))*EXP(-$C$9*$C$13),$C$8-Y47)</f>
        <v>1963.7058294882843</v>
      </c>
      <c r="Z48" s="15">
        <f>Y49/$C$14</f>
        <v>39623.648152631373</v>
      </c>
      <c r="AA48" s="16">
        <f>MAX((AB47*$C$15+AB49*(1-$C$15))*EXP(-$C$9*$C$13),$C$8-AA47)</f>
        <v>1858.8467964534814</v>
      </c>
      <c r="AB48" s="15">
        <f>AA49/$C$14</f>
        <v>39623.648152631373</v>
      </c>
      <c r="AC48" s="16">
        <f>MAX((AD47*$C$15+AD49*(1-$C$15))*EXP(-$C$9*$C$13),$C$8-AC47)</f>
        <v>1750.538064269412</v>
      </c>
      <c r="AD48" s="15">
        <f>AC49/$C$14</f>
        <v>39623.648152631373</v>
      </c>
      <c r="AE48" s="16">
        <f>MAX((AF47*$C$15+AF49*(1-$C$15))*EXP(-$C$9*$C$13),$C$8-AE47)</f>
        <v>1638.4462669529048</v>
      </c>
      <c r="AF48" s="15">
        <f>AE49/$C$14</f>
        <v>39623.648152631373</v>
      </c>
      <c r="AG48" s="16">
        <f>MAX((AH47*$C$15+AH49*(1-$C$15))*EXP(-$C$9*$C$13),$C$8-AG47)</f>
        <v>1522.1816323872342</v>
      </c>
      <c r="AH48" s="15">
        <f>AG49/$C$14</f>
        <v>39623.648152631373</v>
      </c>
      <c r="AI48" s="16">
        <f>MAX((AJ47*$C$15+AJ49*(1-$C$15))*EXP(-$C$9*$C$13),$C$8-AI47)</f>
        <v>1401.2850867578995</v>
      </c>
      <c r="AJ48" s="15">
        <f>AI49/$C$14</f>
        <v>39623.648152631373</v>
      </c>
      <c r="AK48" s="16">
        <f>MAX((AL47*$C$15+AL49*(1-$C$15))*EXP(-$C$9*$C$13),$C$8-AK47)</f>
        <v>1275.2106941021252</v>
      </c>
      <c r="AL48" s="15">
        <f>AK49/$C$14</f>
        <v>39623.648152631373</v>
      </c>
      <c r="AM48" s="16">
        <f>MAX((AN47*$C$15+AN49*(1-$C$15))*EXP(-$C$9*$C$13),$C$8-AM47)</f>
        <v>1143.3046160388619</v>
      </c>
      <c r="AN48" s="15">
        <f>AM49/$C$14</f>
        <v>39623.648152631373</v>
      </c>
      <c r="AO48" s="16">
        <f>MAX((AP47*$C$15+AP49*(1-$C$15))*EXP(-$C$9*$C$13),$C$8-AO47)</f>
        <v>1004.7782227953091</v>
      </c>
      <c r="AP48" s="15">
        <f>AO49/$C$14</f>
        <v>39623.648152631373</v>
      </c>
      <c r="AQ48" s="16">
        <f>MAX((AR47*$C$15+AR49*(1-$C$15))*EXP(-$C$9*$C$13),$C$8-AQ47)</f>
        <v>858.68335218672564</v>
      </c>
      <c r="AR48" s="15">
        <f>AQ49/$C$14</f>
        <v>39623.648152631373</v>
      </c>
      <c r="AS48" s="16">
        <f>MAX((AT47*$C$15+AT49*(1-$C$15))*EXP(-$C$9*$C$13),$C$8-AS47)</f>
        <v>703.89562061337165</v>
      </c>
      <c r="AT48" s="15">
        <f>AS49/$C$14</f>
        <v>39623.648152631373</v>
      </c>
      <c r="AU48" s="16">
        <f>MAX((AV47*$C$15+AV49*(1-$C$15))*EXP(-$C$9*$C$13),$C$8-AU47)</f>
        <v>539.17448403294281</v>
      </c>
      <c r="AV48" s="15">
        <f>AU49/$C$14</f>
        <v>39623.648152631373</v>
      </c>
      <c r="AW48" s="16">
        <f>MAX((AX47*$C$15+AX49*(1-$C$15))*EXP(-$C$9*$C$13),$C$8-AW47)</f>
        <v>363.55353305552603</v>
      </c>
      <c r="AX48" s="15">
        <f>AW49/$C$14</f>
        <v>39623.648152631373</v>
      </c>
      <c r="AY48" s="16">
        <f>MAX((AZ47*$C$15+AZ49*(1-$C$15))*EXP(-$C$9*$C$13),$C$8-AY47)</f>
        <v>178.34373785181242</v>
      </c>
      <c r="AZ48" s="15">
        <f>AY49/$C$14</f>
        <v>39623.648152631373</v>
      </c>
      <c r="BA48" s="16">
        <f>MAX((BB47*$C$15+BB49*(1-$C$15))*EXP(-$C$9*$C$13),$C$8-BA47)</f>
        <v>0</v>
      </c>
      <c r="BB48" s="15">
        <f>BA49/$C$14</f>
        <v>39623.648152631373</v>
      </c>
      <c r="BD48" s="55">
        <f t="shared" si="14"/>
        <v>47465.600000000093</v>
      </c>
      <c r="BE48" s="48">
        <v>1263.6872294156897</v>
      </c>
      <c r="BF48" s="48">
        <v>1233.8991594594568</v>
      </c>
      <c r="BG48" s="48">
        <v>1203.97607233649</v>
      </c>
      <c r="BH48" s="48">
        <v>1173.9196852436037</v>
      </c>
      <c r="BI48" s="48">
        <v>1143.7320464104366</v>
      </c>
      <c r="BJ48" s="48">
        <v>1113.4155732303475</v>
      </c>
      <c r="BK48" s="48">
        <v>1082.9730949999819</v>
      </c>
      <c r="BL48" s="48">
        <v>1052.407900871239</v>
      </c>
      <c r="BM48" s="48">
        <v>1021.7237937099047</v>
      </c>
      <c r="BN48" s="48">
        <v>990.92515066432975</v>
      </c>
      <c r="BO48" s="48">
        <v>960.01699137564844</v>
      </c>
      <c r="BP48" s="48">
        <v>929.00505491341096</v>
      </c>
      <c r="BQ48" s="48">
        <v>897.89588669461818</v>
      </c>
      <c r="BR48" s="48">
        <v>866.69693684441222</v>
      </c>
      <c r="BS48" s="48">
        <v>835.41667168431263</v>
      </c>
      <c r="BT48" s="48">
        <v>804.06470029420268</v>
      </c>
      <c r="BU48" s="48">
        <v>772.65191839363456</v>
      </c>
      <c r="BV48" s="48">
        <v>741.19067213778146</v>
      </c>
      <c r="BW48" s="48">
        <v>709.69494483218409</v>
      </c>
      <c r="BX48" s="48">
        <v>678.18057005112087</v>
      </c>
      <c r="BY48" s="48">
        <v>646.6654752052292</v>
      </c>
      <c r="BZ48" s="48">
        <v>615.16996025073627</v>
      </c>
      <c r="CA48" s="48">
        <v>583.7170169651539</v>
      </c>
      <c r="CB48" s="48">
        <v>552.33269502432631</v>
      </c>
      <c r="CC48" s="48">
        <v>521.0465219860896</v>
      </c>
      <c r="CD48" s="48">
        <v>489.89198518668201</v>
      </c>
      <c r="CE48" s="48">
        <v>458.90708443557497</v>
      </c>
      <c r="CF48" s="48">
        <v>428.13496516224859</v>
      </c>
      <c r="CG48" s="48">
        <v>397.62464216035994</v>
      </c>
      <c r="CH48" s="48">
        <v>367.43182400818904</v>
      </c>
      <c r="CI48" s="48">
        <v>337.61984714377735</v>
      </c>
      <c r="CJ48" s="48">
        <v>308.26072567218932</v>
      </c>
      <c r="CK48" s="48">
        <v>279.43631707272363</v>
      </c>
      <c r="CL48" s="48">
        <v>251.23959318216905</v>
      </c>
      <c r="CM48" s="48">
        <v>223.77598728475976</v>
      </c>
      <c r="CN48" s="48">
        <v>197.16475748056592</v>
      </c>
      <c r="CO48" s="48">
        <v>171.54025722639281</v>
      </c>
      <c r="CP48" s="48">
        <v>147.05292663153529</v>
      </c>
      <c r="CQ48" s="48">
        <v>123.86969981379276</v>
      </c>
      <c r="CR48" s="48">
        <v>102.17334816515213</v>
      </c>
      <c r="CS48" s="48">
        <v>82.16002992709538</v>
      </c>
      <c r="CT48" s="48">
        <v>64.033984252081851</v>
      </c>
      <c r="CU48" s="48">
        <v>47.997913593599598</v>
      </c>
      <c r="CV48" s="48">
        <v>34.237237832976852</v>
      </c>
      <c r="CW48" s="48">
        <v>22.896334213529169</v>
      </c>
      <c r="CX48" s="48">
        <v>14.045650141576893</v>
      </c>
      <c r="CY48" s="48">
        <v>7.6411716507577392</v>
      </c>
      <c r="CZ48" s="48">
        <v>3.4834875384439878</v>
      </c>
      <c r="DA48" s="48">
        <v>1.1934490409377154</v>
      </c>
      <c r="DB48" s="48">
        <v>0.23279282742055557</v>
      </c>
      <c r="DC48" s="49">
        <f t="shared" si="15"/>
        <v>0</v>
      </c>
      <c r="DD48" s="5">
        <f t="shared" si="10"/>
        <v>42</v>
      </c>
      <c r="DE48" s="30" cm="1">
        <f t="array" ref="DE48">1/2*(rf-q)*DD48*dt-1/2*(sigma^2)*(DD48^2)*dt</f>
        <v>-1.3340919698630134</v>
      </c>
      <c r="DF48" s="25">
        <f t="shared" si="11"/>
        <v>3.6796348986301366</v>
      </c>
      <c r="DG48" s="6">
        <f t="shared" si="12"/>
        <v>-1.3452766273972598</v>
      </c>
      <c r="DH48" s="25">
        <f t="shared" si="13"/>
        <v>1322.8529035141657</v>
      </c>
      <c r="DI48">
        <v>1352.2284396310838</v>
      </c>
      <c r="DJ48" s="27">
        <f t="shared" si="16"/>
        <v>1352.2284396310838</v>
      </c>
    </row>
    <row r="49" spans="4:114" x14ac:dyDescent="0.25">
      <c r="G49" s="15">
        <f>F50/$C$14</f>
        <v>38109.090027558785</v>
      </c>
      <c r="H49" s="16">
        <f>MAX((I48*$C$15+I50*(1-$C$15))*EXP(-$C$9*$C$13),$C$8-H48)</f>
        <v>3307.2554845139412</v>
      </c>
      <c r="I49" s="15">
        <f>H50/$C$14</f>
        <v>38109.090027558785</v>
      </c>
      <c r="J49" s="43">
        <f>MAX((K48*$C$15+K50*(1-$C$15))*EXP(-$C$9*$C$13),$C$8-J48)</f>
        <v>3221.9870056258837</v>
      </c>
      <c r="K49" s="15">
        <f>J50/$C$14</f>
        <v>38109.090027558785</v>
      </c>
      <c r="L49" s="40">
        <f>MAX((M48*$C$15+M50*(1-$C$15))*EXP(-$C$9*$C$13),$C$8-L48)</f>
        <v>3134.6924068578742</v>
      </c>
      <c r="M49" s="15">
        <f>L50/$C$14</f>
        <v>38109.090027558785</v>
      </c>
      <c r="N49" s="43">
        <f>MAX((O48*$C$15+O50*(1-$C$15))*EXP(-$C$9*$C$13),$C$8-N48)</f>
        <v>3045.2336830511945</v>
      </c>
      <c r="O49" s="15">
        <f>N50/$C$14</f>
        <v>38109.090027558785</v>
      </c>
      <c r="P49" s="16">
        <f>MAX((Q48*$C$15+Q50*(1-$C$15))*EXP(-$C$9*$C$13),$C$8-P48)</f>
        <v>2953.4561578913258</v>
      </c>
      <c r="Q49" s="15">
        <f>P50/$C$14</f>
        <v>38109.090027558785</v>
      </c>
      <c r="R49" s="16">
        <f>MAX((S48*$C$15+S50*(1-$C$15))*EXP(-$C$9*$C$13),$C$8-R48)</f>
        <v>2859.1855770594284</v>
      </c>
      <c r="S49" s="15">
        <f>R50/$C$14</f>
        <v>38109.090027558785</v>
      </c>
      <c r="T49" s="16">
        <f>MAX((U48*$C$15+U50*(1-$C$15))*EXP(-$C$9*$C$13),$C$8-T48)</f>
        <v>2762.2243685223289</v>
      </c>
      <c r="U49" s="15">
        <f>T50/$C$14</f>
        <v>38109.090027558785</v>
      </c>
      <c r="V49" s="16">
        <f>MAX((W48*$C$15+W50*(1-$C$15))*EXP(-$C$9*$C$13),$C$8-V48)</f>
        <v>2662.3468724377608</v>
      </c>
      <c r="W49" s="15">
        <f>V50/$C$14</f>
        <v>38109.090027558785</v>
      </c>
      <c r="X49" s="16">
        <f>MAX((Y48*$C$15+Y50*(1-$C$15))*EXP(-$C$9*$C$13),$C$8-X48)</f>
        <v>2559.2936291736032</v>
      </c>
      <c r="Y49" s="15">
        <f>X50/$C$14</f>
        <v>38109.090027558785</v>
      </c>
      <c r="Z49" s="16">
        <f>MAX((AA48*$C$15+AA50*(1-$C$15))*EXP(-$C$9*$C$13),$C$8-Z48)</f>
        <v>2452.7638213000514</v>
      </c>
      <c r="AA49" s="15">
        <f>Z50/$C$14</f>
        <v>38109.090027558785</v>
      </c>
      <c r="AB49" s="16">
        <f>MAX((AC48*$C$15+AC50*(1-$C$15))*EXP(-$C$9*$C$13),$C$8-AB48)</f>
        <v>2342.4050819093773</v>
      </c>
      <c r="AC49" s="15">
        <f>AB50/$C$14</f>
        <v>38109.090027558785</v>
      </c>
      <c r="AD49" s="16">
        <f>MAX((AE48*$C$15+AE50*(1-$C$15))*EXP(-$C$9*$C$13),$C$8-AD48)</f>
        <v>2227.8006470276923</v>
      </c>
      <c r="AE49" s="15">
        <f>AD50/$C$14</f>
        <v>38109.090027558785</v>
      </c>
      <c r="AF49" s="16">
        <f>MAX((AG48*$C$15+AG50*(1-$C$15))*EXP(-$C$9*$C$13),$C$8-AF48)</f>
        <v>2108.4516590535759</v>
      </c>
      <c r="AG49" s="15">
        <f>AF50/$C$14</f>
        <v>38109.090027558785</v>
      </c>
      <c r="AH49" s="16">
        <f>MAX((AI48*$C$15+AI50*(1-$C$15))*EXP(-$C$9*$C$13),$C$8-AH48)</f>
        <v>1983.7514419908505</v>
      </c>
      <c r="AI49" s="15">
        <f>AH50/$C$14</f>
        <v>38109.090027558785</v>
      </c>
      <c r="AJ49" s="16">
        <f>MAX((AK48*$C$15+AK50*(1-$C$15))*EXP(-$C$9*$C$13),$C$8-AJ48)</f>
        <v>1852.951200876649</v>
      </c>
      <c r="AK49" s="15">
        <f>AJ50/$C$14</f>
        <v>38109.090027558785</v>
      </c>
      <c r="AL49" s="16">
        <f>MAX((AM48*$C$15+AM50*(1-$C$15))*EXP(-$C$9*$C$13),$C$8-AL48)</f>
        <v>1715.1070312316513</v>
      </c>
      <c r="AM49" s="15">
        <f>AL50/$C$14</f>
        <v>38109.090027558785</v>
      </c>
      <c r="AN49" s="16">
        <f>MAX((AO48*$C$15+AO50*(1-$C$15))*EXP(-$C$9*$C$13),$C$8-AN48)</f>
        <v>1569.0025207769027</v>
      </c>
      <c r="AO49" s="15">
        <f>AN50/$C$14</f>
        <v>38109.090027558785</v>
      </c>
      <c r="AP49" s="16">
        <f>MAX((AQ48*$C$15+AQ50*(1-$C$15))*EXP(-$C$9*$C$13),$C$8-AP48)</f>
        <v>1413.0214670393095</v>
      </c>
      <c r="AQ49" s="15">
        <f>AP50/$C$14</f>
        <v>38109.090027558785</v>
      </c>
      <c r="AR49" s="16">
        <f>MAX((AS48*$C$15+AS50*(1-$C$15))*EXP(-$C$9*$C$13),$C$8-AR48)</f>
        <v>1244.9459184528978</v>
      </c>
      <c r="AS49" s="15">
        <f>AR50/$C$14</f>
        <v>38109.090027558785</v>
      </c>
      <c r="AT49" s="16">
        <f>MAX((AU48*$C$15+AU50*(1-$C$15))*EXP(-$C$9*$C$13),$C$8-AT48)</f>
        <v>1061.5766914202529</v>
      </c>
      <c r="AU49" s="15">
        <f>AT50/$C$14</f>
        <v>38109.090027558785</v>
      </c>
      <c r="AV49" s="16">
        <f>MAX((AW48*$C$15+AW50*(1-$C$15))*EXP(-$C$9*$C$13),$C$8-AV48)</f>
        <v>858.001099854362</v>
      </c>
      <c r="AW49" s="15">
        <f>AV50/$C$14</f>
        <v>38109.090027558785</v>
      </c>
      <c r="AX49" s="16">
        <f>MAX((AY48*$C$15+AY50*(1-$C$15))*EXP(-$C$9*$C$13),$C$8-AX48)</f>
        <v>625.98955081919223</v>
      </c>
      <c r="AY49" s="15">
        <f>AX50/$C$14</f>
        <v>38109.090027558785</v>
      </c>
      <c r="AZ49" s="16">
        <f>MAX((BA48*$C$15+BA50*(1-$C$15))*EXP(-$C$9*$C$13),$C$8-AZ48)</f>
        <v>349.96372100216865</v>
      </c>
      <c r="BA49" s="15">
        <f>AZ50/$C$14</f>
        <v>38109.090027558785</v>
      </c>
      <c r="BB49" s="16">
        <f>MAX(0,$C$8-BB48)</f>
        <v>0</v>
      </c>
      <c r="BD49" s="55">
        <f t="shared" si="14"/>
        <v>46335.466666666762</v>
      </c>
      <c r="BE49" s="48">
        <v>1457.2501041193498</v>
      </c>
      <c r="BF49" s="48">
        <v>1425.7021027844394</v>
      </c>
      <c r="BG49" s="48">
        <v>1393.965063420233</v>
      </c>
      <c r="BH49" s="48">
        <v>1362.0383992781067</v>
      </c>
      <c r="BI49" s="48">
        <v>1329.9217251051984</v>
      </c>
      <c r="BJ49" s="48">
        <v>1297.6148866202632</v>
      </c>
      <c r="BK49" s="48">
        <v>1265.1179940161251</v>
      </c>
      <c r="BL49" s="48">
        <v>1232.4314600613125</v>
      </c>
      <c r="BM49" s="48">
        <v>1199.5560434641766</v>
      </c>
      <c r="BN49" s="48">
        <v>1166.4928982758827</v>
      </c>
      <c r="BO49" s="48">
        <v>1133.2436302477765</v>
      </c>
      <c r="BP49" s="48">
        <v>1099.8103612284601</v>
      </c>
      <c r="BQ49" s="48">
        <v>1066.1958028877466</v>
      </c>
      <c r="BR49" s="48">
        <v>1032.4033412914227</v>
      </c>
      <c r="BS49" s="48">
        <v>998.43713412480452</v>
      </c>
      <c r="BT49" s="48">
        <v>964.30222268156228</v>
      </c>
      <c r="BU49" s="48">
        <v>930.00466110474497</v>
      </c>
      <c r="BV49" s="48">
        <v>895.55166581164701</v>
      </c>
      <c r="BW49" s="48">
        <v>860.95178856803761</v>
      </c>
      <c r="BX49" s="48">
        <v>826.21511733132172</v>
      </c>
      <c r="BY49" s="48">
        <v>791.35350978322185</v>
      </c>
      <c r="BZ49" s="48">
        <v>756.3808654512635</v>
      </c>
      <c r="CA49" s="48">
        <v>721.31344350565814</v>
      </c>
      <c r="CB49" s="48">
        <v>686.17023474171663</v>
      </c>
      <c r="CC49" s="48">
        <v>650.97339794906441</v>
      </c>
      <c r="CD49" s="48">
        <v>615.74877286343906</v>
      </c>
      <c r="CE49" s="48">
        <v>580.52648423972335</v>
      </c>
      <c r="CF49" s="48">
        <v>545.3416543247688</v>
      </c>
      <c r="CG49" s="48">
        <v>510.2352441743169</v>
      </c>
      <c r="CH49" s="48">
        <v>475.25504782145617</v>
      </c>
      <c r="CI49" s="48">
        <v>440.45686711520472</v>
      </c>
      <c r="CJ49" s="48">
        <v>405.90589874251572</v>
      </c>
      <c r="CK49" s="48">
        <v>371.67836779975943</v>
      </c>
      <c r="CL49" s="48">
        <v>337.86344295623439</v>
      </c>
      <c r="CM49" s="48">
        <v>304.56546439987397</v>
      </c>
      <c r="CN49" s="48">
        <v>271.90650327705117</v>
      </c>
      <c r="CO49" s="48">
        <v>240.02924317713078</v>
      </c>
      <c r="CP49" s="48">
        <v>209.10011841587394</v>
      </c>
      <c r="CQ49" s="48">
        <v>179.31254073112714</v>
      </c>
      <c r="CR49" s="48">
        <v>150.8898641625714</v>
      </c>
      <c r="CS49" s="48">
        <v>124.0874298770309</v>
      </c>
      <c r="CT49" s="48">
        <v>99.192532308619363</v>
      </c>
      <c r="CU49" s="48">
        <v>76.520376773202742</v>
      </c>
      <c r="CV49" s="48">
        <v>56.403000769693833</v>
      </c>
      <c r="CW49" s="48">
        <v>39.166778147751458</v>
      </c>
      <c r="CX49" s="48">
        <v>25.092969690231921</v>
      </c>
      <c r="CY49" s="48">
        <v>14.356164346728054</v>
      </c>
      <c r="CZ49" s="48">
        <v>6.9403657910086132</v>
      </c>
      <c r="DA49" s="48">
        <v>2.5470420432122745</v>
      </c>
      <c r="DB49" s="48">
        <v>0.53874194739118175</v>
      </c>
      <c r="DC49" s="49">
        <f t="shared" si="15"/>
        <v>0</v>
      </c>
      <c r="DD49" s="5">
        <f t="shared" si="10"/>
        <v>41</v>
      </c>
      <c r="DE49" s="30" cm="1">
        <f t="array" ref="DE49">1/2*(rf-q)*DD49*dt-1/2*(sigma^2)*(DD49^2)*dt</f>
        <v>-1.271190088356164</v>
      </c>
      <c r="DF49" s="25">
        <f t="shared" si="11"/>
        <v>3.5535648342465747</v>
      </c>
      <c r="DG49" s="6">
        <f t="shared" si="12"/>
        <v>-1.2821084445205477</v>
      </c>
      <c r="DH49" s="25">
        <f t="shared" si="13"/>
        <v>1519.7821945728331</v>
      </c>
      <c r="DI49">
        <v>1550.7682461903321</v>
      </c>
      <c r="DJ49" s="27">
        <f t="shared" si="16"/>
        <v>1550.7682461903321</v>
      </c>
    </row>
    <row r="50" spans="4:114" x14ac:dyDescent="0.25">
      <c r="F50" s="15">
        <f>E51/$C$14</f>
        <v>36652.423752963652</v>
      </c>
      <c r="G50" s="16">
        <f>MAX((H49*$C$15+H51*(1-$C$15))*EXP(-$C$9*$C$13),$C$8-G49)</f>
        <v>3970.3325283584109</v>
      </c>
      <c r="H50" s="15">
        <f>G51/$C$14</f>
        <v>36652.423752963652</v>
      </c>
      <c r="I50" s="16">
        <f>MAX((J49*$C$15+J51*(1-$C$15))*EXP(-$C$9*$C$13),$C$8-I49)</f>
        <v>3886.8778301300872</v>
      </c>
      <c r="J50" s="15">
        <f>I51/$C$14</f>
        <v>36652.423752963652</v>
      </c>
      <c r="K50" s="16">
        <f>MAX((L49*$C$15+L51*(1-$C$15))*EXP(-$C$9*$C$13),$C$8-K49)</f>
        <v>3801.4286328733592</v>
      </c>
      <c r="L50" s="15">
        <f>K51/$C$14</f>
        <v>36652.423752963652</v>
      </c>
      <c r="M50" s="16">
        <f>MAX((N49*$C$15+N51*(1-$C$15))*EXP(-$C$9*$C$13),$C$8-M49)</f>
        <v>3713.8485859324469</v>
      </c>
      <c r="N50" s="15">
        <f>M51/$C$14</f>
        <v>36652.423752963652</v>
      </c>
      <c r="O50" s="16">
        <f>MAX((P49*$C$15+P51*(1-$C$15))*EXP(-$C$9*$C$13),$C$8-O49)</f>
        <v>3623.9847063473735</v>
      </c>
      <c r="P50" s="15">
        <f>O51/$C$14</f>
        <v>36652.423752963652</v>
      </c>
      <c r="Q50" s="16">
        <f>MAX((R49*$C$15+R51*(1-$C$15))*EXP(-$C$9*$C$13),$C$8-Q49)</f>
        <v>3531.6644658257246</v>
      </c>
      <c r="R50" s="15">
        <f>Q51/$C$14</f>
        <v>36652.423752963652</v>
      </c>
      <c r="S50" s="16">
        <f>MAX((T49*$C$15+T51*(1-$C$15))*EXP(-$C$9*$C$13),$C$8-S49)</f>
        <v>3436.6922650286074</v>
      </c>
      <c r="T50" s="15">
        <f>S51/$C$14</f>
        <v>36652.423752963652</v>
      </c>
      <c r="U50" s="16">
        <f>MAX((V49*$C$15+V51*(1-$C$15))*EXP(-$C$9*$C$13),$C$8-U49)</f>
        <v>3338.8447524493781</v>
      </c>
      <c r="V50" s="15">
        <f>U51/$C$14</f>
        <v>36652.423752963652</v>
      </c>
      <c r="W50" s="16">
        <f>MAX((X49*$C$15+X51*(1-$C$15))*EXP(-$C$9*$C$13),$C$8-W49)</f>
        <v>3237.8645783033585</v>
      </c>
      <c r="X50" s="15">
        <f>W51/$C$14</f>
        <v>36652.423752963652</v>
      </c>
      <c r="Y50" s="16">
        <f>MAX((Z49*$C$15+Z51*(1-$C$15))*EXP(-$C$9*$C$13),$C$8-Y49)</f>
        <v>3133.4531381421302</v>
      </c>
      <c r="Z50" s="15">
        <f>Y51/$C$14</f>
        <v>36652.423752963652</v>
      </c>
      <c r="AA50" s="16">
        <f>MAX((AB49*$C$15+AB51*(1-$C$15))*EXP(-$C$9*$C$13),$C$8-AA49)</f>
        <v>3025.2607573319192</v>
      </c>
      <c r="AB50" s="15">
        <f>AA51/$C$14</f>
        <v>36652.423752963652</v>
      </c>
      <c r="AC50" s="16">
        <f>MAX((AD49*$C$15+AD51*(1-$C$15))*EXP(-$C$9*$C$13),$C$8-AC49)</f>
        <v>2912.8727076685818</v>
      </c>
      <c r="AD50" s="15">
        <f>AC51/$C$14</f>
        <v>36652.423752963652</v>
      </c>
      <c r="AE50" s="16">
        <f>MAX((AF49*$C$15+AF51*(1-$C$15))*EXP(-$C$9*$C$13),$C$8-AE49)</f>
        <v>2795.7917972018186</v>
      </c>
      <c r="AF50" s="15">
        <f>AE51/$C$14</f>
        <v>36652.423752963652</v>
      </c>
      <c r="AG50" s="16">
        <f>MAX((AH49*$C$15+AH51*(1-$C$15))*EXP(-$C$9*$C$13),$C$8-AG49)</f>
        <v>2673.4139918347169</v>
      </c>
      <c r="AH50" s="15">
        <f>AG51/$C$14</f>
        <v>36652.423752963652</v>
      </c>
      <c r="AI50" s="16">
        <f>MAX((AJ49*$C$15+AJ51*(1-$C$15))*EXP(-$C$9*$C$13),$C$8-AI49)</f>
        <v>2544.99033829071</v>
      </c>
      <c r="AJ50" s="15">
        <f>AI51/$C$14</f>
        <v>36652.423752963652</v>
      </c>
      <c r="AK50" s="16">
        <f>MAX((AL49*$C$15+AL51*(1-$C$15))*EXP(-$C$9*$C$13),$C$8-AK49)</f>
        <v>2409.5765453659492</v>
      </c>
      <c r="AL50" s="15">
        <f>AK51/$C$14</f>
        <v>36652.423752963652</v>
      </c>
      <c r="AM50" s="16">
        <f>MAX((AN49*$C$15+AN51*(1-$C$15))*EXP(-$C$9*$C$13),$C$8-AM49)</f>
        <v>2265.9492366670006</v>
      </c>
      <c r="AN50" s="15">
        <f>AM51/$C$14</f>
        <v>36652.423752963652</v>
      </c>
      <c r="AO50" s="16">
        <f>MAX((AP49*$C$15+AP51*(1-$C$15))*EXP(-$C$9*$C$13),$C$8-AO49)</f>
        <v>2112.4799332250718</v>
      </c>
      <c r="AP50" s="15">
        <f>AO51/$C$14</f>
        <v>36652.423752963652</v>
      </c>
      <c r="AQ50" s="16">
        <f>MAX((AR49*$C$15+AR51*(1-$C$15))*EXP(-$C$9*$C$13),$C$8-AQ49)</f>
        <v>1946.9090827225561</v>
      </c>
      <c r="AR50" s="15">
        <f>AQ51/$C$14</f>
        <v>36652.423752963652</v>
      </c>
      <c r="AS50" s="16">
        <f>MAX((AT49*$C$15+AT51*(1-$C$15))*EXP(-$C$9*$C$13),$C$8-AS49)</f>
        <v>1765.9658068571721</v>
      </c>
      <c r="AT50" s="15">
        <f>AS51/$C$14</f>
        <v>36652.423752963652</v>
      </c>
      <c r="AU50" s="16">
        <f>MAX((AV49*$C$15+AV51*(1-$C$15))*EXP(-$C$9*$C$13),$C$8-AU49)</f>
        <v>1564.5654771618374</v>
      </c>
      <c r="AV50" s="15">
        <f>AU51/$C$14</f>
        <v>36652.423752963652</v>
      </c>
      <c r="AW50" s="16">
        <f>MAX((AX49*$C$15+AX51*(1-$C$15))*EXP(-$C$9*$C$13),$C$8-AW49)</f>
        <v>1333.9974048736697</v>
      </c>
      <c r="AX50" s="15">
        <f>AW51/$C$14</f>
        <v>36652.423752963652</v>
      </c>
      <c r="AY50" s="16">
        <f>MAX((AZ49*$C$15+AZ51*(1-$C$15))*EXP(-$C$9*$C$13),$C$8-AY49)</f>
        <v>1056.8518086257427</v>
      </c>
      <c r="AZ50" s="15">
        <f>AY51/$C$14</f>
        <v>36652.423752963652</v>
      </c>
      <c r="BA50" s="16">
        <f>MAX((BB49*$C$15+BB51*(1-$C$15))*EXP(-$C$9*$C$13),$C$8-BA49)</f>
        <v>686.7334255349582</v>
      </c>
      <c r="BB50" s="15">
        <f>BA51/$C$14</f>
        <v>36652.423752963652</v>
      </c>
      <c r="BD50" s="55">
        <f t="shared" si="14"/>
        <v>45205.33333333343</v>
      </c>
      <c r="BE50" s="48">
        <v>1677.5984751482167</v>
      </c>
      <c r="BF50" s="48">
        <v>1644.4175267441967</v>
      </c>
      <c r="BG50" s="48">
        <v>1610.9934774314127</v>
      </c>
      <c r="BH50" s="48">
        <v>1577.3232580945587</v>
      </c>
      <c r="BI50" s="48">
        <v>1543.4038473190305</v>
      </c>
      <c r="BJ50" s="48">
        <v>1509.2322889760039</v>
      </c>
      <c r="BK50" s="48">
        <v>1474.8057127974157</v>
      </c>
      <c r="BL50" s="48">
        <v>1440.1213584108598</v>
      </c>
      <c r="BM50" s="48">
        <v>1405.1766033775489</v>
      </c>
      <c r="BN50" s="48">
        <v>1369.9689958733263</v>
      </c>
      <c r="BO50" s="48">
        <v>1334.496292778613</v>
      </c>
      <c r="BP50" s="48">
        <v>1298.7565041056082</v>
      </c>
      <c r="BQ50" s="48">
        <v>1262.7479448933213</v>
      </c>
      <c r="BR50" s="48">
        <v>1226.4692959452298</v>
      </c>
      <c r="BS50" s="48">
        <v>1189.9196750712495</v>
      </c>
      <c r="BT50" s="48">
        <v>1153.0987208291424</v>
      </c>
      <c r="BU50" s="48">
        <v>1116.0066911492554</v>
      </c>
      <c r="BV50" s="48">
        <v>1078.6445796919106</v>
      </c>
      <c r="BW50" s="48">
        <v>1041.014253355386</v>
      </c>
      <c r="BX50" s="48">
        <v>1003.1186150648243</v>
      </c>
      <c r="BY50" s="48">
        <v>964.96179687627716</v>
      </c>
      <c r="BZ50" s="48">
        <v>926.54938957964873</v>
      </c>
      <c r="CA50" s="48">
        <v>887.88871644481731</v>
      </c>
      <c r="CB50" s="48">
        <v>848.98916058725581</v>
      </c>
      <c r="CC50" s="48">
        <v>809.8625577101659</v>
      </c>
      <c r="CD50" s="48">
        <v>770.52366880402235</v>
      </c>
      <c r="CE50" s="48">
        <v>730.99075089138842</v>
      </c>
      <c r="CF50" s="48">
        <v>691.2862482993487</v>
      </c>
      <c r="CG50" s="48">
        <v>651.43763249228562</v>
      </c>
      <c r="CH50" s="48">
        <v>611.4784255280224</v>
      </c>
      <c r="CI50" s="48">
        <v>571.44945105663294</v>
      </c>
      <c r="CJ50" s="48">
        <v>531.4003677924577</v>
      </c>
      <c r="CK50" s="48">
        <v>491.39155379216754</v>
      </c>
      <c r="CL50" s="48">
        <v>451.49642567803227</v>
      </c>
      <c r="CM50" s="48">
        <v>411.80429469725021</v>
      </c>
      <c r="CN50" s="48">
        <v>372.42387970132194</v>
      </c>
      <c r="CO50" s="48">
        <v>333.48761200006408</v>
      </c>
      <c r="CP50" s="48">
        <v>295.15687017964871</v>
      </c>
      <c r="CQ50" s="48">
        <v>257.62825699106105</v>
      </c>
      <c r="CR50" s="48">
        <v>221.14094134528469</v>
      </c>
      <c r="CS50" s="48">
        <v>185.98487265473096</v>
      </c>
      <c r="CT50" s="48">
        <v>152.50921769175866</v>
      </c>
      <c r="CU50" s="48">
        <v>121.12947568391215</v>
      </c>
      <c r="CV50" s="48">
        <v>92.330086008225905</v>
      </c>
      <c r="CW50" s="48">
        <v>66.656539520559662</v>
      </c>
      <c r="CX50" s="48">
        <v>44.686694929700003</v>
      </c>
      <c r="CY50" s="48">
        <v>26.9655849276485</v>
      </c>
      <c r="CZ50" s="48">
        <v>13.884460822030523</v>
      </c>
      <c r="DA50" s="48">
        <v>5.4926529550630034</v>
      </c>
      <c r="DB50" s="48">
        <v>1.2712408663009649</v>
      </c>
      <c r="DC50" s="49">
        <f t="shared" si="15"/>
        <v>0</v>
      </c>
      <c r="DD50" s="5">
        <f t="shared" si="10"/>
        <v>40</v>
      </c>
      <c r="DE50" s="30" cm="1">
        <f t="array" ref="DE50">1/2*(rf-q)*DD50*dt-1/2*(sigma^2)*(DD50^2)*dt</f>
        <v>-1.2098071232876713</v>
      </c>
      <c r="DF50" s="25">
        <f t="shared" si="11"/>
        <v>3.430532602739726</v>
      </c>
      <c r="DG50" s="6">
        <f t="shared" si="12"/>
        <v>-1.2204591780821916</v>
      </c>
      <c r="DH50" s="25">
        <f t="shared" si="13"/>
        <v>1743.2434963676499</v>
      </c>
      <c r="DI50">
        <v>1775.7138216067212</v>
      </c>
      <c r="DJ50" s="27">
        <f t="shared" si="16"/>
        <v>1775.7138216067212</v>
      </c>
    </row>
    <row r="51" spans="4:114" x14ac:dyDescent="0.25">
      <c r="E51" s="15">
        <f>D52/$C$14</f>
        <v>35251.436494425012</v>
      </c>
      <c r="F51" s="16">
        <f>MAX((G50*$C$15+G52*(1-$C$15))*EXP(-$C$9*$C$13),$C$8-F50)</f>
        <v>4690.048466072717</v>
      </c>
      <c r="G51" s="15">
        <f>F52/$C$14</f>
        <v>35251.436494425012</v>
      </c>
      <c r="H51" s="16">
        <f>MAX((I50*$C$15+I52*(1-$C$15))*EXP(-$C$9*$C$13),$C$8-H50)</f>
        <v>4610.1388586015983</v>
      </c>
      <c r="I51" s="15">
        <f>H52/$C$14</f>
        <v>35251.436494425012</v>
      </c>
      <c r="J51" s="16">
        <f>MAX((K50*$C$15+K52*(1-$C$15))*EXP(-$C$9*$C$13),$C$8-J50)</f>
        <v>4528.3850073010126</v>
      </c>
      <c r="K51" s="15">
        <f>J52/$C$14</f>
        <v>35251.436494425012</v>
      </c>
      <c r="L51" s="16">
        <f>MAX((M50*$C$15+M52*(1-$C$15))*EXP(-$C$9*$C$13),$C$8-L50)</f>
        <v>4444.6660270486645</v>
      </c>
      <c r="M51" s="15">
        <f>L52/$C$14</f>
        <v>35251.436494425012</v>
      </c>
      <c r="N51" s="16">
        <f>MAX((O50*$C$15+O52*(1-$C$15))*EXP(-$C$9*$C$13),$C$8-N50)</f>
        <v>4358.8470872083662</v>
      </c>
      <c r="O51" s="15">
        <f>N52/$C$14</f>
        <v>35251.436494425012</v>
      </c>
      <c r="P51" s="16">
        <f>MAX((Q50*$C$15+Q52*(1-$C$15))*EXP(-$C$9*$C$13),$C$8-P50)</f>
        <v>4270.7767535160165</v>
      </c>
      <c r="Q51" s="15">
        <f>P52/$C$14</f>
        <v>35251.436494425012</v>
      </c>
      <c r="R51" s="16">
        <f>MAX((S50*$C$15+S52*(1-$C$15))*EXP(-$C$9*$C$13),$C$8-R50)</f>
        <v>4180.2840675858188</v>
      </c>
      <c r="S51" s="15">
        <f>R52/$C$14</f>
        <v>35251.436494425012</v>
      </c>
      <c r="T51" s="16">
        <f>MAX((U50*$C$15+U52*(1-$C$15))*EXP(-$C$9*$C$13),$C$8-T50)</f>
        <v>4087.1752251703542</v>
      </c>
      <c r="U51" s="15">
        <f>T52/$C$14</f>
        <v>35251.436494425012</v>
      </c>
      <c r="V51" s="16">
        <f>MAX((W50*$C$15+W52*(1-$C$15))*EXP(-$C$9*$C$13),$C$8-V50)</f>
        <v>3991.2289781660575</v>
      </c>
      <c r="W51" s="15">
        <f>V52/$C$14</f>
        <v>35251.436494425012</v>
      </c>
      <c r="X51" s="16">
        <f>MAX((Y50*$C$15+Y52*(1-$C$15))*EXP(-$C$9*$C$13),$C$8-X50)</f>
        <v>3892.189871526205</v>
      </c>
      <c r="Y51" s="15">
        <f>X52/$C$14</f>
        <v>35251.436494425012</v>
      </c>
      <c r="Z51" s="16">
        <f>MAX((AA50*$C$15+AA52*(1-$C$15))*EXP(-$C$9*$C$13),$C$8-Z50)</f>
        <v>3789.7612731768418</v>
      </c>
      <c r="AA51" s="15">
        <f>Z52/$C$14</f>
        <v>35251.436494425012</v>
      </c>
      <c r="AB51" s="16">
        <f>MAX((AC50*$C$15+AC52*(1-$C$15))*EXP(-$C$9*$C$13),$C$8-AB50)</f>
        <v>3683.5959151471102</v>
      </c>
      <c r="AC51" s="15">
        <f>AB52/$C$14</f>
        <v>35251.436494425012</v>
      </c>
      <c r="AD51" s="16">
        <f>MAX((AE50*$C$15+AE52*(1-$C$15))*EXP(-$C$9*$C$13),$C$8-AD50)</f>
        <v>3573.2808104954725</v>
      </c>
      <c r="AE51" s="15">
        <f>AD52/$C$14</f>
        <v>35251.436494425012</v>
      </c>
      <c r="AF51" s="16">
        <f>MAX((AG50*$C$15+AG52*(1-$C$15))*EXP(-$C$9*$C$13),$C$8-AF50)</f>
        <v>3458.320109476108</v>
      </c>
      <c r="AG51" s="15">
        <f>AF52/$C$14</f>
        <v>35251.436494425012</v>
      </c>
      <c r="AH51" s="16">
        <f>MAX((AI50*$C$15+AI52*(1-$C$15))*EXP(-$C$9*$C$13),$C$8-AH50)</f>
        <v>3338.11200330472</v>
      </c>
      <c r="AI51" s="15">
        <f>AH52/$C$14</f>
        <v>35251.436494425012</v>
      </c>
      <c r="AJ51" s="16">
        <f>MAX((AK50*$C$15+AK52*(1-$C$15))*EXP(-$C$9*$C$13),$C$8-AJ50)</f>
        <v>3211.9069951192805</v>
      </c>
      <c r="AK51" s="15">
        <f>AJ52/$C$14</f>
        <v>35251.436494425012</v>
      </c>
      <c r="AL51" s="16">
        <f>MAX((AM50*$C$15+AM52*(1-$C$15))*EXP(-$C$9*$C$13),$C$8-AL50)</f>
        <v>3078.7599283875738</v>
      </c>
      <c r="AM51" s="15">
        <f>AL52/$C$14</f>
        <v>35251.436494425012</v>
      </c>
      <c r="AN51" s="16">
        <f>MAX((AO50*$C$15+AO52*(1-$C$15))*EXP(-$C$9*$C$13),$C$8-AN50)</f>
        <v>2937.4400895891672</v>
      </c>
      <c r="AO51" s="15">
        <f>AN52/$C$14</f>
        <v>35251.436494425012</v>
      </c>
      <c r="AP51" s="16">
        <f>MAX((AQ50*$C$15+AQ52*(1-$C$15))*EXP(-$C$9*$C$13),$C$8-AP50)</f>
        <v>2786.3063416419509</v>
      </c>
      <c r="AQ51" s="15">
        <f>AP52/$C$14</f>
        <v>35251.436494425012</v>
      </c>
      <c r="AR51" s="16">
        <f>MAX((AS50*$C$15+AS52*(1-$C$15))*EXP(-$C$9*$C$13),$C$8-AR50)</f>
        <v>2623.0579410058299</v>
      </c>
      <c r="AS51" s="15">
        <f>AR52/$C$14</f>
        <v>35251.436494425012</v>
      </c>
      <c r="AT51" s="16">
        <f>MAX((AU50*$C$15+AU52*(1-$C$15))*EXP(-$C$9*$C$13),$C$8-AT50)</f>
        <v>2444.353346090702</v>
      </c>
      <c r="AU51" s="15">
        <f>AT52/$C$14</f>
        <v>35251.436494425012</v>
      </c>
      <c r="AV51" s="16">
        <f>MAX((AW50*$C$15+AW52*(1-$C$15))*EXP(-$C$9*$C$13),$C$8-AV50)</f>
        <v>2244.9399016202751</v>
      </c>
      <c r="AW51" s="15">
        <f>AV52/$C$14</f>
        <v>35251.436494425012</v>
      </c>
      <c r="AX51" s="16">
        <f>MAX((AY50*$C$15+AY52*(1-$C$15))*EXP(-$C$9*$C$13),$C$8-AX50)</f>
        <v>2015.6396609383598</v>
      </c>
      <c r="AY51" s="15">
        <f>AX52/$C$14</f>
        <v>35251.436494425012</v>
      </c>
      <c r="AZ51" s="16">
        <f>MAX((BA50*$C$15+BA52*(1-$C$15))*EXP(-$C$9*$C$13),$C$8-AZ50)</f>
        <v>1737.272293033142</v>
      </c>
      <c r="BA51" s="15">
        <f>AZ52/$C$14</f>
        <v>35251.436494425012</v>
      </c>
      <c r="BB51" s="16">
        <f>MAX(0,$C$8-BB50)</f>
        <v>1347.5762470363479</v>
      </c>
      <c r="BD51" s="55">
        <f t="shared" si="14"/>
        <v>44075.200000000099</v>
      </c>
      <c r="BE51" s="48">
        <v>1927.682873851043</v>
      </c>
      <c r="BF51" s="48">
        <v>1893.0482387996124</v>
      </c>
      <c r="BG51" s="48">
        <v>1858.1184473017756</v>
      </c>
      <c r="BH51" s="48">
        <v>1822.8878859150016</v>
      </c>
      <c r="BI51" s="48">
        <v>1787.3508192233205</v>
      </c>
      <c r="BJ51" s="48">
        <v>1751.5013929594286</v>
      </c>
      <c r="BK51" s="48">
        <v>1715.3336386830142</v>
      </c>
      <c r="BL51" s="48">
        <v>1678.8414803214951</v>
      </c>
      <c r="BM51" s="48">
        <v>1642.0187429152259</v>
      </c>
      <c r="BN51" s="48">
        <v>1604.8591639655654</v>
      </c>
      <c r="BO51" s="48">
        <v>1567.3564078667221</v>
      </c>
      <c r="BP51" s="48">
        <v>1529.5040840242846</v>
      </c>
      <c r="BQ51" s="48">
        <v>1491.2957694314391</v>
      </c>
      <c r="BR51" s="48">
        <v>1452.7250366903625</v>
      </c>
      <c r="BS51" s="48">
        <v>1413.7854887277908</v>
      </c>
      <c r="BT51" s="48">
        <v>1374.4708017564751</v>
      </c>
      <c r="BU51" s="48">
        <v>1334.7747783783625</v>
      </c>
      <c r="BV51" s="48">
        <v>1294.6914131263618</v>
      </c>
      <c r="BW51" s="48">
        <v>1254.2149732264295</v>
      </c>
      <c r="BX51" s="48">
        <v>1213.3400979755745</v>
      </c>
      <c r="BY51" s="48">
        <v>1172.0619209340084</v>
      </c>
      <c r="BZ51" s="48">
        <v>1130.3762201983593</v>
      </c>
      <c r="CA51" s="48">
        <v>1088.2796034486209</v>
      </c>
      <c r="CB51" s="48">
        <v>1045.7697363374077</v>
      </c>
      <c r="CC51" s="48">
        <v>1002.8456252163002</v>
      </c>
      <c r="CD51" s="48">
        <v>959.50796829069748</v>
      </c>
      <c r="CE51" s="48">
        <v>915.75959324312873</v>
      </c>
      <c r="CF51" s="48">
        <v>871.60600447406807</v>
      </c>
      <c r="CG51" s="48">
        <v>827.0560698433203</v>
      </c>
      <c r="CH51" s="48">
        <v>782.12288581523501</v>
      </c>
      <c r="CI51" s="48">
        <v>736.82487207753456</v>
      </c>
      <c r="CJ51" s="48">
        <v>691.18716312179242</v>
      </c>
      <c r="CK51" s="48">
        <v>645.24338633398122</v>
      </c>
      <c r="CL51" s="48">
        <v>599.03794560894232</v>
      </c>
      <c r="CM51" s="48">
        <v>552.62896868658004</v>
      </c>
      <c r="CN51" s="48">
        <v>506.09212829361979</v>
      </c>
      <c r="CO51" s="48">
        <v>459.52561515918688</v>
      </c>
      <c r="CP51" s="48">
        <v>413.05662762682192</v>
      </c>
      <c r="CQ51" s="48">
        <v>366.84984657961195</v>
      </c>
      <c r="CR51" s="48">
        <v>321.11847364420424</v>
      </c>
      <c r="CS51" s="48">
        <v>276.13848724974724</v>
      </c>
      <c r="CT51" s="48">
        <v>232.26671918503632</v>
      </c>
      <c r="CU51" s="48">
        <v>189.96295269818873</v>
      </c>
      <c r="CV51" s="48">
        <v>149.81501372807</v>
      </c>
      <c r="CW51" s="48">
        <v>112.56280492461802</v>
      </c>
      <c r="CX51" s="48">
        <v>79.110654856690473</v>
      </c>
      <c r="CY51" s="48">
        <v>50.504533912098879</v>
      </c>
      <c r="CZ51" s="48">
        <v>27.829237230794785</v>
      </c>
      <c r="DA51" s="48">
        <v>11.954734812324038</v>
      </c>
      <c r="DB51" s="48">
        <v>3.0612488653494809</v>
      </c>
      <c r="DC51" s="49">
        <f t="shared" si="15"/>
        <v>0</v>
      </c>
      <c r="DD51" s="5">
        <f t="shared" si="10"/>
        <v>39</v>
      </c>
      <c r="DE51" s="30" cm="1">
        <f t="array" ref="DE51">1/2*(rf-q)*DD51*dt-1/2*(sigma^2)*(DD51^2)*dt</f>
        <v>-1.1499430746575339</v>
      </c>
      <c r="DF51" s="25">
        <f t="shared" si="11"/>
        <v>3.3105382041095885</v>
      </c>
      <c r="DG51" s="6">
        <f t="shared" si="12"/>
        <v>-1.1603288280821915</v>
      </c>
      <c r="DH51" s="25">
        <f t="shared" si="13"/>
        <v>1996.0885085019931</v>
      </c>
      <c r="DI51">
        <v>2029.8701134894966</v>
      </c>
      <c r="DJ51" s="27">
        <f t="shared" si="16"/>
        <v>2029.8701134894966</v>
      </c>
    </row>
    <row r="52" spans="4:114" x14ac:dyDescent="0.25">
      <c r="D52" s="15">
        <f>$C$7</f>
        <v>33904</v>
      </c>
      <c r="E52" s="16">
        <f>MAX((F51*$C$15+F53*(1-$C$15))*EXP(-$C$9*$C$13),$C$8-E51)</f>
        <v>5459.64202442027</v>
      </c>
      <c r="F52" s="15">
        <f>E53/$C$14</f>
        <v>33904</v>
      </c>
      <c r="G52" s="16">
        <f>MAX((H51*$C$15+H53*(1-$C$15))*EXP(-$C$9*$C$13),$C$8-G51)</f>
        <v>5384.7047950300412</v>
      </c>
      <c r="H52" s="15">
        <f>G53/$C$14</f>
        <v>33904</v>
      </c>
      <c r="I52" s="16">
        <f>MAX((J51*$C$15+J53*(1-$C$15))*EXP(-$C$9*$C$13),$C$8-I51)</f>
        <v>5308.1630199811025</v>
      </c>
      <c r="J52" s="15">
        <f>I53/$C$14</f>
        <v>33904</v>
      </c>
      <c r="K52" s="16">
        <f>MAX((L51*$C$15+L53*(1-$C$15))*EXP(-$C$9*$C$13),$C$8-K51)</f>
        <v>5229.9205494032794</v>
      </c>
      <c r="L52" s="15">
        <f>K53/$C$14</f>
        <v>33904</v>
      </c>
      <c r="M52" s="16">
        <f>MAX((N51*$C$15+N53*(1-$C$15))*EXP(-$C$9*$C$13),$C$8-M51)</f>
        <v>5149.8713093978677</v>
      </c>
      <c r="N52" s="15">
        <f>M53/$C$14</f>
        <v>33904</v>
      </c>
      <c r="O52" s="16">
        <f>MAX((P51*$C$15+P53*(1-$C$15))*EXP(-$C$9*$C$13),$C$8-O51)</f>
        <v>5067.8978573573604</v>
      </c>
      <c r="P52" s="15">
        <f>O53/$C$14</f>
        <v>33904</v>
      </c>
      <c r="Q52" s="16">
        <f>MAX((R51*$C$15+R53*(1-$C$15))*EXP(-$C$9*$C$13),$C$8-Q51)</f>
        <v>4983.8689676330641</v>
      </c>
      <c r="R52" s="15">
        <f>Q53/$C$14</f>
        <v>33904</v>
      </c>
      <c r="S52" s="16">
        <f>MAX((T51*$C$15+T53*(1-$C$15))*EXP(-$C$9*$C$13),$C$8-S51)</f>
        <v>4897.6372916019545</v>
      </c>
      <c r="T52" s="15">
        <f>S53/$C$14</f>
        <v>33904</v>
      </c>
      <c r="U52" s="16">
        <f>MAX((V51*$C$15+V53*(1-$C$15))*EXP(-$C$9*$C$13),$C$8-U51)</f>
        <v>4809.0373416120547</v>
      </c>
      <c r="V52" s="15">
        <f>U53/$C$14</f>
        <v>33904</v>
      </c>
      <c r="W52" s="16">
        <f>MAX((X51*$C$15+X53*(1-$C$15))*EXP(-$C$9*$C$13),$C$8-W51)</f>
        <v>4717.8824757043622</v>
      </c>
      <c r="X52" s="15">
        <f>W53/$C$14</f>
        <v>33904</v>
      </c>
      <c r="Y52" s="16">
        <f>MAX((Z51*$C$15+Z53*(1-$C$15))*EXP(-$C$9*$C$13),$C$8-Y51)</f>
        <v>4623.9586054352094</v>
      </c>
      <c r="Z52" s="15">
        <f>Y53/$C$14</f>
        <v>33904</v>
      </c>
      <c r="AA52" s="16">
        <f>MAX((AB51*$C$15+AB53*(1-$C$15))*EXP(-$C$9*$C$13),$C$8-AA51)</f>
        <v>4527.0199588250662</v>
      </c>
      <c r="AB52" s="15">
        <f>AA53/$C$14</f>
        <v>33904</v>
      </c>
      <c r="AC52" s="16">
        <f>MAX((AD51*$C$15+AD53*(1-$C$15))*EXP(-$C$9*$C$13),$C$8-AC51)</f>
        <v>4426.7839681187952</v>
      </c>
      <c r="AD52" s="15">
        <f>AC53/$C$14</f>
        <v>33904</v>
      </c>
      <c r="AE52" s="16">
        <f>MAX((AF51*$C$15+AF53*(1-$C$15))*EXP(-$C$9*$C$13),$C$8-AE51)</f>
        <v>4322.9184169828832</v>
      </c>
      <c r="AF52" s="15">
        <f>AE53/$C$14</f>
        <v>33904</v>
      </c>
      <c r="AG52" s="16">
        <f>MAX((AH51*$C$15+AH53*(1-$C$15))*EXP(-$C$9*$C$13),$C$8-AG51)</f>
        <v>4215.031245750024</v>
      </c>
      <c r="AH52" s="15">
        <f>AG53/$C$14</f>
        <v>33904</v>
      </c>
      <c r="AI52" s="16">
        <f>MAX((AJ51*$C$15+AJ53*(1-$C$15))*EXP(-$C$9*$C$13),$C$8-AI51)</f>
        <v>4102.6618512962214</v>
      </c>
      <c r="AJ52" s="15">
        <f>AI53/$C$14</f>
        <v>33904</v>
      </c>
      <c r="AK52" s="16">
        <f>MAX((AL51*$C$15+AL53*(1-$C$15))*EXP(-$C$9*$C$13),$C$8-AK51)</f>
        <v>3985.2476937548977</v>
      </c>
      <c r="AL52" s="15">
        <f>AK53/$C$14</f>
        <v>33904</v>
      </c>
      <c r="AM52" s="16">
        <f>MAX((AN51*$C$15+AN53*(1-$C$15))*EXP(-$C$9*$C$13),$C$8-AM51)</f>
        <v>3862.110708054875</v>
      </c>
      <c r="AN52" s="15">
        <f>AM53/$C$14</f>
        <v>33904</v>
      </c>
      <c r="AO52" s="16">
        <f>MAX((AP51*$C$15+AP53*(1-$C$15))*EXP(-$C$9*$C$13),$C$8-AO51)</f>
        <v>3732.4020990606432</v>
      </c>
      <c r="AP52" s="15">
        <f>AO53/$C$14</f>
        <v>33904</v>
      </c>
      <c r="AQ52" s="16">
        <f>MAX((AR51*$C$15+AR53*(1-$C$15))*EXP(-$C$9*$C$13),$C$8-AQ51)</f>
        <v>3595.0746493913462</v>
      </c>
      <c r="AR52" s="15">
        <f>AQ53/$C$14</f>
        <v>33904</v>
      </c>
      <c r="AS52" s="16">
        <f>MAX((AT51*$C$15+AT53*(1-$C$15))*EXP(-$C$9*$C$13),$C$8-AS51)</f>
        <v>3448.759466111494</v>
      </c>
      <c r="AT52" s="15">
        <f>AS53/$C$14</f>
        <v>33904</v>
      </c>
      <c r="AU52" s="16">
        <f>MAX((AV51*$C$15+AV53*(1-$C$15))*EXP(-$C$9*$C$13),$C$8-AU51)</f>
        <v>3291.7897215347862</v>
      </c>
      <c r="AV52" s="15">
        <f>AU53/$C$14</f>
        <v>33904</v>
      </c>
      <c r="AW52" s="16">
        <f>MAX((AX51*$C$15+AX53*(1-$C$15))*EXP(-$C$9*$C$13),$C$8-AW51)</f>
        <v>3122.2358709362475</v>
      </c>
      <c r="AX52" s="15">
        <f>AW53/$C$14</f>
        <v>33904</v>
      </c>
      <c r="AY52" s="16">
        <f>MAX((AZ51*$C$15+AZ53*(1-$C$15))*EXP(-$C$9*$C$13),$C$8-AY51)</f>
        <v>2938.8323566706513</v>
      </c>
      <c r="AZ52" s="15">
        <f>AY53/$C$14</f>
        <v>33904</v>
      </c>
      <c r="BA52" s="16">
        <f>MAX((BB51*$C$15+BB53*(1-$C$15))*EXP(-$C$9*$C$13),$C$8-BA51)</f>
        <v>2748.5635055749881</v>
      </c>
      <c r="BB52" s="15">
        <f>BA53/$C$14</f>
        <v>33904</v>
      </c>
      <c r="BD52" s="55">
        <f t="shared" si="14"/>
        <v>42945.066666666768</v>
      </c>
      <c r="BE52" s="48">
        <v>2210.5908925866438</v>
      </c>
      <c r="BF52" s="48">
        <v>2174.7380917327332</v>
      </c>
      <c r="BG52" s="48">
        <v>2138.5424218975718</v>
      </c>
      <c r="BH52" s="48">
        <v>2101.9958071013734</v>
      </c>
      <c r="BI52" s="48">
        <v>2065.0898754411114</v>
      </c>
      <c r="BJ52" s="48">
        <v>2027.8159462664244</v>
      </c>
      <c r="BK52" s="48">
        <v>1990.165017199249</v>
      </c>
      <c r="BL52" s="48">
        <v>1952.1277511068861</v>
      </c>
      <c r="BM52" s="48">
        <v>1913.6944631187541</v>
      </c>
      <c r="BN52" s="48">
        <v>1874.8551077698044</v>
      </c>
      <c r="BO52" s="48">
        <v>1835.5992663579702</v>
      </c>
      <c r="BP52" s="48">
        <v>1795.9161346441551</v>
      </c>
      <c r="BQ52" s="48">
        <v>1755.7945111149229</v>
      </c>
      <c r="BR52" s="48">
        <v>1715.2227861773081</v>
      </c>
      <c r="BS52" s="48">
        <v>1674.1889328554485</v>
      </c>
      <c r="BT52" s="48">
        <v>1632.6804997944087</v>
      </c>
      <c r="BU52" s="48">
        <v>1590.6846076262661</v>
      </c>
      <c r="BV52" s="48">
        <v>1548.1879500167811</v>
      </c>
      <c r="BW52" s="48">
        <v>1505.1768009992174</v>
      </c>
      <c r="BX52" s="48">
        <v>1461.6370305524013</v>
      </c>
      <c r="BY52" s="48">
        <v>1417.5541308493082</v>
      </c>
      <c r="BZ52" s="48">
        <v>1372.9132562793332</v>
      </c>
      <c r="CA52" s="48">
        <v>1327.6992813470206</v>
      </c>
      <c r="CB52" s="48">
        <v>1281.8968819918152</v>
      </c>
      <c r="CC52" s="48">
        <v>1235.4906478650073</v>
      </c>
      <c r="CD52" s="48">
        <v>1188.4652357290063</v>
      </c>
      <c r="CE52" s="48">
        <v>1140.805577534434</v>
      </c>
      <c r="CF52" s="48">
        <v>1092.497161144252</v>
      </c>
      <c r="CG52" s="48">
        <v>1043.52640761869</v>
      </c>
      <c r="CH52" s="48">
        <v>993.88117726793905</v>
      </c>
      <c r="CI52" s="48">
        <v>943.55144849183273</v>
      </c>
      <c r="CJ52" s="48">
        <v>892.5302303971954</v>
      </c>
      <c r="CK52" s="48">
        <v>840.81479454582757</v>
      </c>
      <c r="CL52" s="48">
        <v>788.40834598950835</v>
      </c>
      <c r="CM52" s="48">
        <v>735.32230352145871</v>
      </c>
      <c r="CN52" s="48">
        <v>681.57943096943904</v>
      </c>
      <c r="CO52" s="48">
        <v>627.21816671444992</v>
      </c>
      <c r="CP52" s="48">
        <v>572.29865448748012</v>
      </c>
      <c r="CQ52" s="48">
        <v>516.91120909709548</v>
      </c>
      <c r="CR52" s="48">
        <v>461.18828850770052</v>
      </c>
      <c r="CS52" s="48">
        <v>405.32152714655837</v>
      </c>
      <c r="CT52" s="48">
        <v>349.58604624040049</v>
      </c>
      <c r="CU52" s="48">
        <v>294.37507250438097</v>
      </c>
      <c r="CV52" s="48">
        <v>240.24864114163606</v>
      </c>
      <c r="CW52" s="48">
        <v>188.00000764078763</v>
      </c>
      <c r="CX52" s="48">
        <v>138.73995548168418</v>
      </c>
      <c r="CY52" s="48">
        <v>93.986396883597664</v>
      </c>
      <c r="CZ52" s="48">
        <v>55.710999517389382</v>
      </c>
      <c r="DA52" s="48">
        <v>26.211796521679403</v>
      </c>
      <c r="DB52" s="48">
        <v>7.5302196145667839</v>
      </c>
      <c r="DC52" s="49">
        <f t="shared" si="15"/>
        <v>0</v>
      </c>
      <c r="DD52" s="5">
        <f t="shared" si="10"/>
        <v>38</v>
      </c>
      <c r="DE52" s="30" cm="1">
        <f t="array" ref="DE52">1/2*(rf-q)*DD52*dt-1/2*(sigma^2)*(DD52^2)*dt</f>
        <v>-1.0915979424657531</v>
      </c>
      <c r="DF52" s="25">
        <f t="shared" si="11"/>
        <v>3.1935816383561639</v>
      </c>
      <c r="DG52" s="6">
        <f t="shared" si="12"/>
        <v>-1.1017173945205476</v>
      </c>
      <c r="DH52" s="25">
        <f t="shared" si="13"/>
        <v>2281.2987866171138</v>
      </c>
      <c r="DI52">
        <v>2316.1686631698572</v>
      </c>
      <c r="DJ52" s="27">
        <f t="shared" si="16"/>
        <v>2316.1686631698572</v>
      </c>
    </row>
    <row r="53" spans="4:114" x14ac:dyDescent="0.25">
      <c r="D53" s="16">
        <f>MAX((E52*$C$15+E54*(1-$C$15))*EXP(-$C$9*$C$13),$C$8-D52)</f>
        <v>6271.5572127093237</v>
      </c>
      <c r="E53" s="15">
        <f>D52*$C$14</f>
        <v>32608.067367177777</v>
      </c>
      <c r="F53" s="16">
        <f>MAX((G52*$C$15+G54*(1-$C$15))*EXP(-$C$9*$C$13),$C$8-F52)</f>
        <v>6202.6715797218994</v>
      </c>
      <c r="G53" s="15">
        <f>F54/$C$14</f>
        <v>32608.067367177777</v>
      </c>
      <c r="H53" s="16">
        <f>MAX((I52*$C$15+I54*(1-$C$15))*EXP(-$C$9*$C$13),$C$8-H52)</f>
        <v>6132.4775120647791</v>
      </c>
      <c r="I53" s="15">
        <f>H54/$C$14</f>
        <v>32608.067367177777</v>
      </c>
      <c r="J53" s="16">
        <f>MAX((K52*$C$15+K54*(1-$C$15))*EXP(-$C$9*$C$13),$C$8-J52)</f>
        <v>6060.9085964304622</v>
      </c>
      <c r="K53" s="15">
        <f>J54/$C$14</f>
        <v>32608.067367177777</v>
      </c>
      <c r="L53" s="16">
        <f>MAX((M52*$C$15+M54*(1-$C$15))*EXP(-$C$9*$C$13),$C$8-L52)</f>
        <v>5987.8924224930661</v>
      </c>
      <c r="M53" s="15">
        <f>L54/$C$14</f>
        <v>32608.067367177777</v>
      </c>
      <c r="N53" s="16">
        <f>MAX((O52*$C$15+O54*(1-$C$15))*EXP(-$C$9*$C$13),$C$8-N52)</f>
        <v>5913.3505184826963</v>
      </c>
      <c r="O53" s="15">
        <f>N54/$C$14</f>
        <v>32608.067367177777</v>
      </c>
      <c r="P53" s="16">
        <f>MAX((Q52*$C$15+Q54*(1-$C$15))*EXP(-$C$9*$C$13),$C$8-P52)</f>
        <v>5837.1980728022781</v>
      </c>
      <c r="Q53" s="15">
        <f>P54/$C$14</f>
        <v>32608.067367177777</v>
      </c>
      <c r="R53" s="16">
        <f>MAX((S52*$C$15+S54*(1-$C$15))*EXP(-$C$9*$C$13),$C$8-R52)</f>
        <v>5759.3420052478014</v>
      </c>
      <c r="S53" s="15">
        <f>R54/$C$14</f>
        <v>32608.067367177777</v>
      </c>
      <c r="T53" s="16">
        <f>MAX((U52*$C$15+U54*(1-$C$15))*EXP(-$C$9*$C$13),$C$8-T52)</f>
        <v>5679.6795701311758</v>
      </c>
      <c r="U53" s="15">
        <f>T54/$C$14</f>
        <v>32608.067367177777</v>
      </c>
      <c r="V53" s="16">
        <f>MAX((W52*$C$15+W54*(1-$C$15))*EXP(-$C$9*$C$13),$C$8-V52)</f>
        <v>5598.0988224211178</v>
      </c>
      <c r="W53" s="15">
        <f>V54/$C$14</f>
        <v>32608.067367177777</v>
      </c>
      <c r="X53" s="16">
        <f>MAX((Y52*$C$15+Y54*(1-$C$15))*EXP(-$C$9*$C$13),$C$8-X52)</f>
        <v>5514.479205443844</v>
      </c>
      <c r="Y53" s="15">
        <f>X54/$C$14</f>
        <v>32608.067367177777</v>
      </c>
      <c r="Z53" s="16">
        <f>MAX((AA52*$C$15+AA54*(1-$C$15))*EXP(-$C$9*$C$13),$C$8-Z52)</f>
        <v>5428.685907412224</v>
      </c>
      <c r="AA53" s="15">
        <f>Z54/$C$14</f>
        <v>32608.067367177777</v>
      </c>
      <c r="AB53" s="16">
        <f>MAX((AC52*$C$15+AC54*(1-$C$15))*EXP(-$C$9*$C$13),$C$8-AB52)</f>
        <v>5340.5706443825638</v>
      </c>
      <c r="AC53" s="15">
        <f>AB54/$C$14</f>
        <v>32608.067367177777</v>
      </c>
      <c r="AD53" s="16">
        <f>MAX((AE52*$C$15+AE54*(1-$C$15))*EXP(-$C$9*$C$13),$C$8-AD52)</f>
        <v>5249.976135056716</v>
      </c>
      <c r="AE53" s="15">
        <f>AD54/$C$14</f>
        <v>32608.067367177777</v>
      </c>
      <c r="AF53" s="16">
        <f>MAX((AG52*$C$15+AG54*(1-$C$15))*EXP(-$C$9*$C$13),$C$8-AF52)</f>
        <v>5156.7273682760169</v>
      </c>
      <c r="AG53" s="15">
        <f>AF54/$C$14</f>
        <v>32608.067367177777</v>
      </c>
      <c r="AH53" s="16">
        <f>MAX((AI52*$C$15+AI54*(1-$C$15))*EXP(-$C$9*$C$13),$C$8-AH52)</f>
        <v>5060.6338112771118</v>
      </c>
      <c r="AI53" s="15">
        <f>AH54/$C$14</f>
        <v>32608.067367177777</v>
      </c>
      <c r="AJ53" s="16">
        <f>MAX((AK52*$C$15+AK54*(1-$C$15))*EXP(-$C$9*$C$13),$C$8-AJ52)</f>
        <v>4961.5124714558715</v>
      </c>
      <c r="AK53" s="15">
        <f>AJ54/$C$14</f>
        <v>32608.067367177777</v>
      </c>
      <c r="AL53" s="16">
        <f>MAX((AM52*$C$15+AM54*(1-$C$15))*EXP(-$C$9*$C$13),$C$8-AL52)</f>
        <v>4859.1685067050621</v>
      </c>
      <c r="AM53" s="15">
        <f>AL54/$C$14</f>
        <v>32608.067367177777</v>
      </c>
      <c r="AN53" s="16">
        <f>MAX((AO52*$C$15+AO54*(1-$C$15))*EXP(-$C$9*$C$13),$C$8-AN52)</f>
        <v>4753.4550219099428</v>
      </c>
      <c r="AO53" s="15">
        <f>AN54/$C$14</f>
        <v>32608.067367177777</v>
      </c>
      <c r="AP53" s="16">
        <f>MAX((AQ52*$C$15+AQ54*(1-$C$15))*EXP(-$C$9*$C$13),$C$8-AP52)</f>
        <v>4644.2848342372417</v>
      </c>
      <c r="AQ53" s="15">
        <f>AP54/$C$14</f>
        <v>32608.067367177777</v>
      </c>
      <c r="AR53" s="16">
        <f>MAX((AS52*$C$15+AS54*(1-$C$15))*EXP(-$C$9*$C$13),$C$8-AR52)</f>
        <v>4531.8157910299124</v>
      </c>
      <c r="AS53" s="15">
        <f>AR54/$C$14</f>
        <v>32608.067367177777</v>
      </c>
      <c r="AT53" s="16">
        <f>MAX((AU52*$C$15+AU54*(1-$C$15))*EXP(-$C$9*$C$13),$C$8-AT52)</f>
        <v>4416.5755310541062</v>
      </c>
      <c r="AU53" s="15">
        <f>AT54/$C$14</f>
        <v>32608.067367177777</v>
      </c>
      <c r="AV53" s="16">
        <f>MAX((AW52*$C$15+AW54*(1-$C$15))*EXP(-$C$9*$C$13),$C$8-AV52)</f>
        <v>4300.3451200996224</v>
      </c>
      <c r="AW53" s="15">
        <f>AV54/$C$14</f>
        <v>32608.067367177777</v>
      </c>
      <c r="AX53" s="16">
        <f>MAX((AY52*$C$15+AY54*(1-$C$15))*EXP(-$C$9*$C$13),$C$8-AX52)</f>
        <v>4188.1653472469034</v>
      </c>
      <c r="AY53" s="15">
        <f>AX54/$C$14</f>
        <v>32608.067367177777</v>
      </c>
      <c r="AZ53" s="16">
        <f>MAX((BA52*$C$15+BA54*(1-$C$15))*EXP(-$C$9*$C$13),$C$8-AZ52)</f>
        <v>4096</v>
      </c>
      <c r="BA53" s="15">
        <f>AZ54/$C$14</f>
        <v>32608.067367177777</v>
      </c>
      <c r="BB53" s="16">
        <f>MAX(0,$C$8-BB52)</f>
        <v>4096</v>
      </c>
      <c r="BD53" s="55">
        <f t="shared" si="14"/>
        <v>41814.933333333436</v>
      </c>
      <c r="BE53" s="48">
        <v>2529.5051704392981</v>
      </c>
      <c r="BF53" s="48">
        <v>2492.7282627476166</v>
      </c>
      <c r="BG53" s="48">
        <v>2455.5676458948633</v>
      </c>
      <c r="BH53" s="48">
        <v>2418.013027657114</v>
      </c>
      <c r="BI53" s="48">
        <v>2380.0536560011428</v>
      </c>
      <c r="BJ53" s="48">
        <v>2341.6782903043595</v>
      </c>
      <c r="BK53" s="48">
        <v>2302.8751705944846</v>
      </c>
      <c r="BL53" s="48">
        <v>2263.6319847283953</v>
      </c>
      <c r="BM53" s="48">
        <v>2223.9358333602654</v>
      </c>
      <c r="BN53" s="48">
        <v>2183.7731924567529</v>
      </c>
      <c r="BO53" s="48">
        <v>2143.1298730121689</v>
      </c>
      <c r="BP53" s="48">
        <v>2101.9909775294591</v>
      </c>
      <c r="BQ53" s="48">
        <v>2060.3408527944907</v>
      </c>
      <c r="BR53" s="48">
        <v>2018.1630385059254</v>
      </c>
      <c r="BS53" s="48">
        <v>1975.4402114289701</v>
      </c>
      <c r="BT53" s="48">
        <v>1932.1541248966219</v>
      </c>
      <c r="BU53" s="48">
        <v>1888.2855436239661</v>
      </c>
      <c r="BV53" s="48">
        <v>1843.8141739025318</v>
      </c>
      <c r="BW53" s="48">
        <v>1798.7185892744928</v>
      </c>
      <c r="BX53" s="48">
        <v>1752.9761517625718</v>
      </c>
      <c r="BY53" s="48">
        <v>1706.5629286741432</v>
      </c>
      <c r="BZ53" s="48">
        <v>1659.4536049838473</v>
      </c>
      <c r="CA53" s="48">
        <v>1611.6213914637883</v>
      </c>
      <c r="CB53" s="48">
        <v>1563.0379292307425</v>
      </c>
      <c r="CC53" s="48">
        <v>1513.6731923492709</v>
      </c>
      <c r="CD53" s="48">
        <v>1463.4953915898918</v>
      </c>
      <c r="CE53" s="48">
        <v>1412.470884331651</v>
      </c>
      <c r="CF53" s="48">
        <v>1360.5640979091502</v>
      </c>
      <c r="CG53" s="48">
        <v>1307.7374767014799</v>
      </c>
      <c r="CH53" s="48">
        <v>1253.9514675995808</v>
      </c>
      <c r="CI53" s="48">
        <v>1199.1645652158752</v>
      </c>
      <c r="CJ53" s="48">
        <v>1143.3334489699473</v>
      </c>
      <c r="CK53" s="48">
        <v>1086.4132613038353</v>
      </c>
      <c r="CL53" s="48">
        <v>1028.3581027704156</v>
      </c>
      <c r="CM53" s="48">
        <v>969.12185994312949</v>
      </c>
      <c r="CN53" s="48">
        <v>908.65954354885514</v>
      </c>
      <c r="CO53" s="48">
        <v>846.92941105973273</v>
      </c>
      <c r="CP53" s="48">
        <v>783.89630528133944</v>
      </c>
      <c r="CQ53" s="48">
        <v>719.53690073580037</v>
      </c>
      <c r="CR53" s="48">
        <v>653.84798466060829</v>
      </c>
      <c r="CS53" s="48">
        <v>586.85963106407632</v>
      </c>
      <c r="CT53" s="48">
        <v>518.65636520100315</v>
      </c>
      <c r="CU53" s="48">
        <v>449.41152489528253</v>
      </c>
      <c r="CV53" s="48">
        <v>379.44358325652729</v>
      </c>
      <c r="CW53" s="48">
        <v>309.30895308088134</v>
      </c>
      <c r="CX53" s="48">
        <v>239.95409180592242</v>
      </c>
      <c r="CY53" s="48">
        <v>172.95791881559379</v>
      </c>
      <c r="CZ53" s="48">
        <v>110.88869733919157</v>
      </c>
      <c r="DA53" s="48">
        <v>57.721392396088909</v>
      </c>
      <c r="DB53" s="48">
        <v>18.940801521945861</v>
      </c>
      <c r="DC53" s="49">
        <f t="shared" si="15"/>
        <v>0</v>
      </c>
      <c r="DD53" s="5">
        <f t="shared" si="10"/>
        <v>37</v>
      </c>
      <c r="DE53" s="30" cm="1">
        <f t="array" ref="DE53">1/2*(rf-q)*DD53*dt-1/2*(sigma^2)*(DD53^2)*dt</f>
        <v>-1.0347717267123286</v>
      </c>
      <c r="DF53" s="25">
        <f t="shared" si="11"/>
        <v>3.0796629054794518</v>
      </c>
      <c r="DG53" s="6">
        <f t="shared" si="12"/>
        <v>-1.0446248773972602</v>
      </c>
      <c r="DH53" s="25">
        <f t="shared" si="13"/>
        <v>2601.9468873641722</v>
      </c>
      <c r="DI53">
        <v>2637.6302141661818</v>
      </c>
      <c r="DJ53" s="27">
        <f t="shared" si="16"/>
        <v>2637.6302141661818</v>
      </c>
    </row>
    <row r="54" spans="4:114" x14ac:dyDescent="0.25">
      <c r="E54" s="16">
        <f>MAX((F53*$C$15+F55*(1-$C$15))*EXP(-$C$9*$C$13),$C$8-E53)</f>
        <v>7055.7149335307186</v>
      </c>
      <c r="F54" s="15">
        <f>E53*$C$14</f>
        <v>31361.669933412111</v>
      </c>
      <c r="G54" s="16">
        <f>MAX((H53*$C$15+H55*(1-$C$15))*EXP(-$C$9*$C$13),$C$8-G53)</f>
        <v>6992.6135909171171</v>
      </c>
      <c r="H54" s="15">
        <f>G55/$C$14</f>
        <v>31361.669933412111</v>
      </c>
      <c r="I54" s="16">
        <f>MAX((J53*$C$15+J55*(1-$C$15))*EXP(-$C$9*$C$13),$C$8-I53)</f>
        <v>6928.4879225491013</v>
      </c>
      <c r="J54" s="15">
        <f>I55/$C$14</f>
        <v>31361.669933412111</v>
      </c>
      <c r="K54" s="16">
        <f>MAX((L53*$C$15+L55*(1-$C$15))*EXP(-$C$9*$C$13),$C$8-K53)</f>
        <v>6863.300080343126</v>
      </c>
      <c r="L54" s="15">
        <f>K55/$C$14</f>
        <v>31361.669933412111</v>
      </c>
      <c r="M54" s="16">
        <f>MAX((N53*$C$15+N55*(1-$C$15))*EXP(-$C$9*$C$13),$C$8-M53)</f>
        <v>6797.0099929695734</v>
      </c>
      <c r="N54" s="15">
        <f>M55/$C$14</f>
        <v>31361.669933412111</v>
      </c>
      <c r="O54" s="16">
        <f>MAX((P53*$C$15+P55*(1-$C$15))*EXP(-$C$9*$C$13),$C$8-O53)</f>
        <v>6729.5766288898276</v>
      </c>
      <c r="P54" s="15">
        <f>O55/$C$14</f>
        <v>31361.669933412111</v>
      </c>
      <c r="Q54" s="16">
        <f>MAX((R53*$C$15+R55*(1-$C$15))*EXP(-$C$9*$C$13),$C$8-Q53)</f>
        <v>6660.9597721332111</v>
      </c>
      <c r="R54" s="15">
        <f>Q55/$C$14</f>
        <v>31361.669933412111</v>
      </c>
      <c r="S54" s="16">
        <f>MAX((T53*$C$15+T55*(1-$C$15))*EXP(-$C$9*$C$13),$C$8-S53)</f>
        <v>6591.1184879470802</v>
      </c>
      <c r="T54" s="15">
        <f>S55/$C$14</f>
        <v>31361.669933412111</v>
      </c>
      <c r="U54" s="16">
        <f>MAX((V53*$C$15+V55*(1-$C$15))*EXP(-$C$9*$C$13),$C$8-U53)</f>
        <v>6520.0103207001275</v>
      </c>
      <c r="V54" s="15">
        <f>U55/$C$14</f>
        <v>31361.669933412111</v>
      </c>
      <c r="W54" s="16">
        <f>MAX((X53*$C$15+X55*(1-$C$15))*EXP(-$C$9*$C$13),$C$8-W53)</f>
        <v>6447.5951086134364</v>
      </c>
      <c r="X54" s="15">
        <f>W55/$C$14</f>
        <v>31361.669933412111</v>
      </c>
      <c r="Y54" s="16">
        <f>MAX((Z53*$C$15+Z55*(1-$C$15))*EXP(-$C$9*$C$13),$C$8-Y53)</f>
        <v>6373.8421886729229</v>
      </c>
      <c r="Z54" s="15">
        <f>Y55/$C$14</f>
        <v>31361.669933412111</v>
      </c>
      <c r="AA54" s="16">
        <f>MAX((AB53*$C$15+AB55*(1-$C$15))*EXP(-$C$9*$C$13),$C$8-AA53)</f>
        <v>6298.723397548576</v>
      </c>
      <c r="AB54" s="15">
        <f>AA55/$C$14</f>
        <v>31361.669933412111</v>
      </c>
      <c r="AC54" s="16">
        <f>MAX((AD53*$C$15+AD55*(1-$C$15))*EXP(-$C$9*$C$13),$C$8-AC53)</f>
        <v>6222.2195248212747</v>
      </c>
      <c r="AD54" s="15">
        <f>AC55/$C$14</f>
        <v>31361.669933412111</v>
      </c>
      <c r="AE54" s="16">
        <f>MAX((AF53*$C$15+AF55*(1-$C$15))*EXP(-$C$9*$C$13),$C$8-AE53)</f>
        <v>6144.341455404553</v>
      </c>
      <c r="AF54" s="15">
        <f>AE55/$C$14</f>
        <v>31361.669933412111</v>
      </c>
      <c r="AG54" s="16">
        <f>MAX((AH53*$C$15+AH55*(1-$C$15))*EXP(-$C$9*$C$13),$C$8-AG53)</f>
        <v>6065.1228388327836</v>
      </c>
      <c r="AH54" s="15">
        <f>AG55/$C$14</f>
        <v>31361.669933412111</v>
      </c>
      <c r="AI54" s="16">
        <f>MAX((AJ53*$C$15+AJ55*(1-$C$15))*EXP(-$C$9*$C$13),$C$8-AI53)</f>
        <v>5984.6327900921196</v>
      </c>
      <c r="AJ54" s="15">
        <f>AI55/$C$14</f>
        <v>31361.669933412111</v>
      </c>
      <c r="AK54" s="16">
        <f>MAX((AL53*$C$15+AL55*(1-$C$15))*EXP(-$C$9*$C$13),$C$8-AK53)</f>
        <v>5903.0532605691096</v>
      </c>
      <c r="AL54" s="15">
        <f>AK55/$C$14</f>
        <v>31361.669933412111</v>
      </c>
      <c r="AM54" s="16">
        <f>MAX((AN53*$C$15+AN55*(1-$C$15))*EXP(-$C$9*$C$13),$C$8-AM53)</f>
        <v>5820.654058799777</v>
      </c>
      <c r="AN54" s="15">
        <f>AM55/$C$14</f>
        <v>31361.669933412111</v>
      </c>
      <c r="AO54" s="16">
        <f>MAX((AP53*$C$15+AP55*(1-$C$15))*EXP(-$C$9*$C$13),$C$8-AO53)</f>
        <v>5737.9632837990439</v>
      </c>
      <c r="AP54" s="15">
        <f>AO55/$C$14</f>
        <v>31361.669933412111</v>
      </c>
      <c r="AQ54" s="16">
        <f>MAX((AR53*$C$15+AR55*(1-$C$15))*EXP(-$C$9*$C$13),$C$8-AQ53)</f>
        <v>5655.8170457607848</v>
      </c>
      <c r="AR54" s="15">
        <f>AQ55/$C$14</f>
        <v>31361.669933412111</v>
      </c>
      <c r="AS54" s="16">
        <f>MAX((AT53*$C$15+AT55*(1-$C$15))*EXP(-$C$9*$C$13),$C$8-AS53)</f>
        <v>5575.8416572844471</v>
      </c>
      <c r="AT54" s="15">
        <f>AS55/$C$14</f>
        <v>31361.669933412111</v>
      </c>
      <c r="AU54" s="16">
        <f>MAX((AV53*$C$15+AV55*(1-$C$15))*EXP(-$C$9*$C$13),$C$8-AU53)</f>
        <v>5500.6756188879917</v>
      </c>
      <c r="AV54" s="15">
        <f>AU55/$C$14</f>
        <v>31361.669933412111</v>
      </c>
      <c r="AW54" s="16">
        <f>MAX((AX53*$C$15+AX55*(1-$C$15))*EXP(-$C$9*$C$13),$C$8-AW53)</f>
        <v>5435.6697046118879</v>
      </c>
      <c r="AX54" s="15">
        <f>AW55/$C$14</f>
        <v>31361.669933412111</v>
      </c>
      <c r="AY54" s="16">
        <f>MAX((AZ53*$C$15+AZ55*(1-$C$15))*EXP(-$C$9*$C$13),$C$8-AY53)</f>
        <v>5391.9326328222232</v>
      </c>
      <c r="AZ54" s="15">
        <f>AY55/$C$14</f>
        <v>31361.669933412111</v>
      </c>
      <c r="BA54" s="16">
        <f>MAX((BB53*$C$15+BB55*(1-$C$15))*EXP(-$C$9*$C$13),$C$8-BA53)</f>
        <v>5391.9326328222232</v>
      </c>
      <c r="BB54" s="15">
        <f>BA55/$C$14</f>
        <v>31361.669933412111</v>
      </c>
      <c r="BD54" s="55">
        <f t="shared" si="14"/>
        <v>40684.800000000105</v>
      </c>
      <c r="BE54" s="48">
        <v>2887.6482248140483</v>
      </c>
      <c r="BF54" s="48">
        <v>2850.2997615254553</v>
      </c>
      <c r="BG54" s="48">
        <v>2812.5362076364295</v>
      </c>
      <c r="BH54" s="48">
        <v>2774.3454752851908</v>
      </c>
      <c r="BI54" s="48">
        <v>2735.7148790486858</v>
      </c>
      <c r="BJ54" s="48">
        <v>2696.6310929609162</v>
      </c>
      <c r="BK54" s="48">
        <v>2657.0801037870765</v>
      </c>
      <c r="BL54" s="48">
        <v>2617.0471603476099</v>
      </c>
      <c r="BM54" s="48">
        <v>2576.5167185893292</v>
      </c>
      <c r="BN54" s="48">
        <v>2535.4723819341284</v>
      </c>
      <c r="BO54" s="48">
        <v>2493.8968362038186</v>
      </c>
      <c r="BP54" s="48">
        <v>2451.7717781557681</v>
      </c>
      <c r="BQ54" s="48">
        <v>2409.0778364242265</v>
      </c>
      <c r="BR54" s="48">
        <v>2365.7944835099624</v>
      </c>
      <c r="BS54" s="48">
        <v>2321.8999374320629</v>
      </c>
      <c r="BT54" s="48">
        <v>2277.3710517294653</v>
      </c>
      <c r="BU54" s="48">
        <v>2232.1831925856854</v>
      </c>
      <c r="BV54" s="48">
        <v>2186.3101018464909</v>
      </c>
      <c r="BW54" s="48">
        <v>2139.7237445327482</v>
      </c>
      <c r="BX54" s="48">
        <v>2092.3941390805976</v>
      </c>
      <c r="BY54" s="48">
        <v>2044.2891679104052</v>
      </c>
      <c r="BZ54" s="48">
        <v>1995.3743650413487</v>
      </c>
      <c r="CA54" s="48">
        <v>1945.6126764658948</v>
      </c>
      <c r="CB54" s="48">
        <v>1894.9641880954287</v>
      </c>
      <c r="CC54" s="48">
        <v>1843.3858155517269</v>
      </c>
      <c r="CD54" s="48">
        <v>1790.8309499441962</v>
      </c>
      <c r="CE54" s="48">
        <v>1737.2490537428628</v>
      </c>
      <c r="CF54" s="48">
        <v>1682.5852003814828</v>
      </c>
      <c r="CG54" s="48">
        <v>1626.7795499517404</v>
      </c>
      <c r="CH54" s="48">
        <v>1569.7667513897582</v>
      </c>
      <c r="CI54" s="48">
        <v>1511.4752592451434</v>
      </c>
      <c r="CJ54" s="48">
        <v>1451.8265514984359</v>
      </c>
      <c r="CK54" s="48">
        <v>1390.7342356502745</v>
      </c>
      <c r="CL54" s="48">
        <v>1328.1030351555696</v>
      </c>
      <c r="CM54" s="48">
        <v>1263.827658297801</v>
      </c>
      <c r="CN54" s="48">
        <v>1197.7915683321817</v>
      </c>
      <c r="CO54" s="48">
        <v>1129.8657035480169</v>
      </c>
      <c r="CP54" s="48">
        <v>1059.9072551851627</v>
      </c>
      <c r="CQ54" s="48">
        <v>987.75873252561178</v>
      </c>
      <c r="CR54" s="48">
        <v>913.24779116326749</v>
      </c>
      <c r="CS54" s="48">
        <v>836.18879253447415</v>
      </c>
      <c r="CT54" s="48">
        <v>756.38804463487077</v>
      </c>
      <c r="CU54" s="48">
        <v>673.65668894868122</v>
      </c>
      <c r="CV54" s="48">
        <v>587.83947415304431</v>
      </c>
      <c r="CW54" s="48">
        <v>498.8769204562962</v>
      </c>
      <c r="CX54" s="48">
        <v>406.93862895715318</v>
      </c>
      <c r="CY54" s="48">
        <v>312.70941481233336</v>
      </c>
      <c r="CZ54" s="48">
        <v>218.00104658108734</v>
      </c>
      <c r="DA54" s="48">
        <v>127.02331477753394</v>
      </c>
      <c r="DB54" s="48">
        <v>48.769238473360943</v>
      </c>
      <c r="DC54" s="49">
        <f t="shared" si="15"/>
        <v>0</v>
      </c>
      <c r="DD54" s="5">
        <f t="shared" si="10"/>
        <v>36</v>
      </c>
      <c r="DE54" s="30" cm="1">
        <f t="array" ref="DE54">1/2*(rf-q)*DD54*dt-1/2*(sigma^2)*(DD54^2)*dt</f>
        <v>-0.97946442739726003</v>
      </c>
      <c r="DF54" s="25">
        <f t="shared" si="11"/>
        <v>2.9687820054794516</v>
      </c>
      <c r="DG54" s="6">
        <f t="shared" si="12"/>
        <v>-0.98905127671232862</v>
      </c>
      <c r="DH54" s="25">
        <f t="shared" si="13"/>
        <v>2961.1454762794233</v>
      </c>
      <c r="DI54">
        <v>2997.3157902508997</v>
      </c>
      <c r="DJ54" s="27">
        <f t="shared" si="16"/>
        <v>2997.3157902508997</v>
      </c>
    </row>
    <row r="55" spans="4:114" x14ac:dyDescent="0.25">
      <c r="F55" s="16">
        <f>MAX((G54*$C$15+G56*(1-$C$15))*EXP(-$C$9*$C$13),$C$8-F54)</f>
        <v>7879.8384708550784</v>
      </c>
      <c r="G55" s="15">
        <f>F54*$C$14</f>
        <v>30162.914285508963</v>
      </c>
      <c r="H55" s="16">
        <f>MAX((I54*$C$15+I56*(1-$C$15))*EXP(-$C$9*$C$13),$C$8-H54)</f>
        <v>7823.5257738335995</v>
      </c>
      <c r="I55" s="15">
        <f>H56/$C$14</f>
        <v>30162.914285508963</v>
      </c>
      <c r="J55" s="16">
        <f>MAX((K54*$C$15+K56*(1-$C$15))*EXP(-$C$9*$C$13),$C$8-J54)</f>
        <v>7766.5253398590157</v>
      </c>
      <c r="K55" s="15">
        <f>J56/$C$14</f>
        <v>30162.914285508963</v>
      </c>
      <c r="L55" s="16">
        <f>MAX((M54*$C$15+M56*(1-$C$15))*EXP(-$C$9*$C$13),$C$8-L54)</f>
        <v>7708.8325422217276</v>
      </c>
      <c r="M55" s="15">
        <f>L56/$C$14</f>
        <v>30162.914285508963</v>
      </c>
      <c r="N55" s="16">
        <f>MAX((O54*$C$15+O56*(1-$C$15))*EXP(-$C$9*$C$13),$C$8-N54)</f>
        <v>7650.4442212926706</v>
      </c>
      <c r="O55" s="15">
        <f>N56/$C$14</f>
        <v>30162.914285508963</v>
      </c>
      <c r="P55" s="16">
        <f>MAX((Q54*$C$15+Q56*(1-$C$15))*EXP(-$C$9*$C$13),$C$8-P54)</f>
        <v>7591.3614307219232</v>
      </c>
      <c r="Q55" s="15">
        <f>P56/$C$14</f>
        <v>30162.914285508963</v>
      </c>
      <c r="R55" s="16">
        <f>MAX((S54*$C$15+S56*(1-$C$15))*EXP(-$C$9*$C$13),$C$8-R54)</f>
        <v>7531.5947770987304</v>
      </c>
      <c r="S55" s="15">
        <f>R56/$C$14</f>
        <v>30162.914285508963</v>
      </c>
      <c r="T55" s="16">
        <f>MAX((U54*$C$15+U56*(1-$C$15))*EXP(-$C$9*$C$13),$C$8-T54)</f>
        <v>7471.1627525818367</v>
      </c>
      <c r="U55" s="15">
        <f>T56/$C$14</f>
        <v>30162.914285508963</v>
      </c>
      <c r="V55" s="16">
        <f>MAX((W54*$C$15+W56*(1-$C$15))*EXP(-$C$9*$C$13),$C$8-V54)</f>
        <v>7410.0897126227164</v>
      </c>
      <c r="W55" s="15">
        <f>V56/$C$14</f>
        <v>30162.914285508963</v>
      </c>
      <c r="X55" s="16">
        <f>MAX((Y54*$C$15+Y56*(1-$C$15))*EXP(-$C$9*$C$13),$C$8-X54)</f>
        <v>7348.4127963714727</v>
      </c>
      <c r="Y55" s="15">
        <f>X56/$C$14</f>
        <v>30162.914285508963</v>
      </c>
      <c r="Z55" s="16">
        <f>MAX((AA54*$C$15+AA56*(1-$C$15))*EXP(-$C$9*$C$13),$C$8-Z54)</f>
        <v>7286.2014926257298</v>
      </c>
      <c r="AA55" s="15">
        <f>Z56/$C$14</f>
        <v>30162.914285508963</v>
      </c>
      <c r="AB55" s="16">
        <f>MAX((AC54*$C$15+AC56*(1-$C$15))*EXP(-$C$9*$C$13),$C$8-AB54)</f>
        <v>7223.5431525127879</v>
      </c>
      <c r="AC55" s="15">
        <f>AB56/$C$14</f>
        <v>30162.914285508963</v>
      </c>
      <c r="AD55" s="16">
        <f>MAX((AE54*$C$15+AE56*(1-$C$15))*EXP(-$C$9*$C$13),$C$8-AD54)</f>
        <v>7160.5513488904162</v>
      </c>
      <c r="AE55" s="15">
        <f>AD56/$C$14</f>
        <v>30162.914285508963</v>
      </c>
      <c r="AF55" s="16">
        <f>MAX((AG54*$C$15+AG56*(1-$C$15))*EXP(-$C$9*$C$13),$C$8-AF54)</f>
        <v>7097.4157628161865</v>
      </c>
      <c r="AG55" s="15">
        <f>AF56/$C$14</f>
        <v>30162.914285508963</v>
      </c>
      <c r="AH55" s="16">
        <f>MAX((AI54*$C$15+AI56*(1-$C$15))*EXP(-$C$9*$C$13),$C$8-AH54)</f>
        <v>7034.3856746513775</v>
      </c>
      <c r="AI55" s="15">
        <f>AH56/$C$14</f>
        <v>30162.914285508963</v>
      </c>
      <c r="AJ55" s="16">
        <f>MAX((AK54*$C$15+AK56*(1-$C$15))*EXP(-$C$9*$C$13),$C$8-AJ54)</f>
        <v>6971.7727066270936</v>
      </c>
      <c r="AK55" s="15">
        <f>AJ56/$C$14</f>
        <v>30162.914285508963</v>
      </c>
      <c r="AL55" s="16">
        <f>MAX((AM54*$C$15+AM56*(1-$C$15))*EXP(-$C$9*$C$13),$C$8-AL54)</f>
        <v>6910.1212962916143</v>
      </c>
      <c r="AM55" s="15">
        <f>AL56/$C$14</f>
        <v>30162.914285508963</v>
      </c>
      <c r="AN55" s="16">
        <f>MAX((AO54*$C$15+AO56*(1-$C$15))*EXP(-$C$9*$C$13),$C$8-AN54)</f>
        <v>6850.1021688949222</v>
      </c>
      <c r="AO55" s="15">
        <f>AN56/$C$14</f>
        <v>30162.914285508963</v>
      </c>
      <c r="AP55" s="16">
        <f>MAX((AQ54*$C$15+AQ56*(1-$C$15))*EXP(-$C$9*$C$13),$C$8-AP54)</f>
        <v>6792.8354629465575</v>
      </c>
      <c r="AQ55" s="15">
        <f>AP56/$C$14</f>
        <v>30162.914285508963</v>
      </c>
      <c r="AR55" s="16">
        <f>MAX((AS54*$C$15+AS56*(1-$C$15))*EXP(-$C$9*$C$13),$C$8-AR54)</f>
        <v>6739.8100627114236</v>
      </c>
      <c r="AS55" s="15">
        <f>AR56/$C$14</f>
        <v>30162.914285508963</v>
      </c>
      <c r="AT55" s="16">
        <f>MAX((AU54*$C$15+AU56*(1-$C$15))*EXP(-$C$9*$C$13),$C$8-AT54)</f>
        <v>6693.7098091003627</v>
      </c>
      <c r="AU55" s="15">
        <f>AT56/$C$14</f>
        <v>30162.914285508963</v>
      </c>
      <c r="AV55" s="16">
        <f>MAX((AW54*$C$15+AW56*(1-$C$15))*EXP(-$C$9*$C$13),$C$8-AV54)</f>
        <v>6657.9992417239218</v>
      </c>
      <c r="AW55" s="15">
        <f>AV56/$C$14</f>
        <v>30162.914285508963</v>
      </c>
      <c r="AX55" s="16">
        <f>MAX((AY54*$C$15+AY56*(1-$C$15))*EXP(-$C$9*$C$13),$C$8-AX54)</f>
        <v>6638.3300665878887</v>
      </c>
      <c r="AY55" s="15">
        <f>AX56/$C$14</f>
        <v>30162.914285508963</v>
      </c>
      <c r="AZ55" s="16">
        <f>MAX((BA54*$C$15+BA56*(1-$C$15))*EXP(-$C$9*$C$13),$C$8-AZ54)</f>
        <v>6638.3300665878887</v>
      </c>
      <c r="BA55" s="15">
        <f>AZ56/$C$14</f>
        <v>30162.914285508963</v>
      </c>
      <c r="BB55" s="16">
        <f>MAX(0,$C$8-BB54)</f>
        <v>6638.3300665878887</v>
      </c>
      <c r="BD55" s="55">
        <f t="shared" si="14"/>
        <v>39554.666666666773</v>
      </c>
      <c r="BE55" s="48">
        <v>3288.2133522109339</v>
      </c>
      <c r="BF55" s="48">
        <v>3250.7013779924368</v>
      </c>
      <c r="BG55" s="48">
        <v>3212.7548530179847</v>
      </c>
      <c r="BH55" s="48">
        <v>3174.3604830158315</v>
      </c>
      <c r="BI55" s="48">
        <v>3135.5042807730388</v>
      </c>
      <c r="BJ55" s="48">
        <v>3096.1715126242298</v>
      </c>
      <c r="BK55" s="48">
        <v>3056.3466396240774</v>
      </c>
      <c r="BL55" s="48">
        <v>3016.0132531701724</v>
      </c>
      <c r="BM55" s="48">
        <v>2975.1540047888516</v>
      </c>
      <c r="BN55" s="48">
        <v>2933.7505296218233</v>
      </c>
      <c r="BO55" s="48">
        <v>2891.7833628235271</v>
      </c>
      <c r="BP55" s="48">
        <v>2849.2318476119644</v>
      </c>
      <c r="BQ55" s="48">
        <v>2806.0740331834254</v>
      </c>
      <c r="BR55" s="48">
        <v>2762.286560233842</v>
      </c>
      <c r="BS55" s="48">
        <v>2717.8445315604786</v>
      </c>
      <c r="BT55" s="48">
        <v>2672.7213651960974</v>
      </c>
      <c r="BU55" s="48">
        <v>2626.8886276488984</v>
      </c>
      <c r="BV55" s="48">
        <v>2580.3158448786439</v>
      </c>
      <c r="BW55" s="48">
        <v>2532.9702884764642</v>
      </c>
      <c r="BX55" s="48">
        <v>2484.816734062792</v>
      </c>
      <c r="BY55" s="48">
        <v>2435.8171879631873</v>
      </c>
      <c r="BZ55" s="48">
        <v>2385.9305765906015</v>
      </c>
      <c r="CA55" s="48">
        <v>2335.1123906592406</v>
      </c>
      <c r="CB55" s="48">
        <v>2283.3142736807658</v>
      </c>
      <c r="CC55" s="48">
        <v>2230.4835417138602</v>
      </c>
      <c r="CD55" s="48">
        <v>2176.5626194897022</v>
      </c>
      <c r="CE55" s="48">
        <v>2121.4883765214568</v>
      </c>
      <c r="CF55" s="48">
        <v>2065.1913443311064</v>
      </c>
      <c r="CG55" s="48">
        <v>2007.5947910412831</v>
      </c>
      <c r="CH55" s="48">
        <v>1948.6136216176546</v>
      </c>
      <c r="CI55" s="48">
        <v>1888.1530599080052</v>
      </c>
      <c r="CJ55" s="48">
        <v>1826.1070520519027</v>
      </c>
      <c r="CK55" s="48">
        <v>1762.3563108918142</v>
      </c>
      <c r="CL55" s="48">
        <v>1696.7658987356613</v>
      </c>
      <c r="CM55" s="48">
        <v>1629.1822185145481</v>
      </c>
      <c r="CN55" s="48">
        <v>1559.4292415975601</v>
      </c>
      <c r="CO55" s="48">
        <v>1487.3037326061312</v>
      </c>
      <c r="CP55" s="48">
        <v>1412.5691284911113</v>
      </c>
      <c r="CQ55" s="48">
        <v>1334.9475823987871</v>
      </c>
      <c r="CR55" s="48">
        <v>1254.1094888710293</v>
      </c>
      <c r="CS55" s="48">
        <v>1169.6595572281649</v>
      </c>
      <c r="CT55" s="48">
        <v>1081.1181675683301</v>
      </c>
      <c r="CU55" s="48">
        <v>987.89635675998932</v>
      </c>
      <c r="CV55" s="48">
        <v>889.26269060547577</v>
      </c>
      <c r="CW55" s="48">
        <v>784.30186846160314</v>
      </c>
      <c r="CX55" s="48">
        <v>671.8730613483317</v>
      </c>
      <c r="CY55" s="48">
        <v>550.60783378200824</v>
      </c>
      <c r="CZ55" s="48">
        <v>419.10624860838237</v>
      </c>
      <c r="DA55" s="48">
        <v>276.93285052973926</v>
      </c>
      <c r="DB55" s="48">
        <v>128.69463162476117</v>
      </c>
      <c r="DC55" s="49">
        <f t="shared" si="15"/>
        <v>0</v>
      </c>
      <c r="DD55" s="5">
        <f t="shared" si="10"/>
        <v>35</v>
      </c>
      <c r="DE55" s="30" cm="1">
        <f t="array" ref="DE55">1/2*(rf-q)*DD55*dt-1/2*(sigma^2)*(DD55^2)*dt</f>
        <v>-0.92567604452054775</v>
      </c>
      <c r="DF55" s="25">
        <f t="shared" si="11"/>
        <v>2.8609389383561643</v>
      </c>
      <c r="DG55" s="6">
        <f t="shared" si="12"/>
        <v>-0.93499659246575328</v>
      </c>
      <c r="DH55" s="25">
        <f t="shared" si="13"/>
        <v>3361.9836467556224</v>
      </c>
      <c r="DI55">
        <v>3398.2655037157356</v>
      </c>
      <c r="DJ55" s="27">
        <f t="shared" si="16"/>
        <v>3398.2655037157356</v>
      </c>
    </row>
    <row r="56" spans="4:114" x14ac:dyDescent="0.25">
      <c r="G56" s="16">
        <f>MAX((H55*$C$15+H57*(1-$C$15))*EXP(-$C$9*$C$13),$C$8-G55)</f>
        <v>8737.2675926672455</v>
      </c>
      <c r="H56" s="15">
        <f>G55*$C$14</f>
        <v>29009.979383326012</v>
      </c>
      <c r="I56" s="16">
        <f>MAX((J55*$C$15+J57*(1-$C$15))*EXP(-$C$9*$C$13),$C$8-I55)</f>
        <v>8688.4398041626482</v>
      </c>
      <c r="J56" s="15">
        <f>I57/$C$14</f>
        <v>29009.979383326012</v>
      </c>
      <c r="K56" s="16">
        <f>MAX((L55*$C$15+L57*(1-$C$15))*EXP(-$C$9*$C$13),$C$8-K55)</f>
        <v>8639.2840439294596</v>
      </c>
      <c r="L56" s="15">
        <f>K57/$C$14</f>
        <v>29009.979383326012</v>
      </c>
      <c r="M56" s="16">
        <f>MAX((N55*$C$15+N57*(1-$C$15))*EXP(-$C$9*$C$13),$C$8-M55)</f>
        <v>8589.8297726400124</v>
      </c>
      <c r="N56" s="15">
        <f>M57/$C$14</f>
        <v>29009.979383326012</v>
      </c>
      <c r="O56" s="16">
        <f>MAX((P55*$C$15+P57*(1-$C$15))*EXP(-$C$9*$C$13),$C$8-O55)</f>
        <v>8540.1102533235226</v>
      </c>
      <c r="P56" s="15">
        <f>O57/$C$14</f>
        <v>29009.979383326012</v>
      </c>
      <c r="Q56" s="16">
        <f>MAX((R55*$C$15+R57*(1-$C$15))*EXP(-$C$9*$C$13),$C$8-Q55)</f>
        <v>8490.1662323282399</v>
      </c>
      <c r="R56" s="15">
        <f>Q57/$C$14</f>
        <v>29009.979383326012</v>
      </c>
      <c r="S56" s="16">
        <f>MAX((T55*$C$15+T57*(1-$C$15))*EXP(-$C$9*$C$13),$C$8-S55)</f>
        <v>8440.0578930319989</v>
      </c>
      <c r="T56" s="15">
        <f>S57/$C$14</f>
        <v>29009.979383326012</v>
      </c>
      <c r="U56" s="16">
        <f>MAX((V55*$C$15+V57*(1-$C$15))*EXP(-$C$9*$C$13),$C$8-U55)</f>
        <v>8389.8623554022124</v>
      </c>
      <c r="V56" s="15">
        <f>U57/$C$14</f>
        <v>29009.979383326012</v>
      </c>
      <c r="W56" s="16">
        <f>MAX((X55*$C$15+X57*(1-$C$15))*EXP(-$C$9*$C$13),$C$8-W55)</f>
        <v>8339.6660387660759</v>
      </c>
      <c r="X56" s="15">
        <f>W57/$C$14</f>
        <v>29009.979383326012</v>
      </c>
      <c r="Y56" s="16">
        <f>MAX((Z55*$C$15+Z57*(1-$C$15))*EXP(-$C$9*$C$13),$C$8-Y55)</f>
        <v>8289.5713122006382</v>
      </c>
      <c r="Z56" s="15">
        <f>Y57/$C$14</f>
        <v>29009.979383326012</v>
      </c>
      <c r="AA56" s="16">
        <f>MAX((AB55*$C$15+AB57*(1-$C$15))*EXP(-$C$9*$C$13),$C$8-AA55)</f>
        <v>8239.741620323588</v>
      </c>
      <c r="AB56" s="15">
        <f>AA57/$C$14</f>
        <v>29009.979383326012</v>
      </c>
      <c r="AC56" s="16">
        <f>MAX((AD55*$C$15+AD57*(1-$C$15))*EXP(-$C$9*$C$13),$C$8-AC55)</f>
        <v>8190.3668482840549</v>
      </c>
      <c r="AD56" s="15">
        <f>AC57/$C$14</f>
        <v>29009.979383326012</v>
      </c>
      <c r="AE56" s="16">
        <f>MAX((AF55*$C$15+AF57*(1-$C$15))*EXP(-$C$9*$C$13),$C$8-AE55)</f>
        <v>8141.6593911231075</v>
      </c>
      <c r="AF56" s="15">
        <f>AE57/$C$14</f>
        <v>29009.979383326012</v>
      </c>
      <c r="AG56" s="16">
        <f>MAX((AH55*$C$15+AH57*(1-$C$15))*EXP(-$C$9*$C$13),$C$8-AG55)</f>
        <v>8093.9590964434592</v>
      </c>
      <c r="AH56" s="15">
        <f>AG57/$C$14</f>
        <v>29009.979383326012</v>
      </c>
      <c r="AI56" s="16">
        <f>MAX((AJ55*$C$15+AJ57*(1-$C$15))*EXP(-$C$9*$C$13),$C$8-AI55)</f>
        <v>8047.6886536612037</v>
      </c>
      <c r="AJ56" s="15">
        <f>AI57/$C$14</f>
        <v>29009.979383326012</v>
      </c>
      <c r="AK56" s="16">
        <f>MAX((AL55*$C$15+AL57*(1-$C$15))*EXP(-$C$9*$C$13),$C$8-AK55)</f>
        <v>8003.2845621871948</v>
      </c>
      <c r="AL56" s="15">
        <f>AK57/$C$14</f>
        <v>29009.979383326012</v>
      </c>
      <c r="AM56" s="16">
        <f>MAX((AN55*$C$15+AN57*(1-$C$15))*EXP(-$C$9*$C$13),$C$8-AM55)</f>
        <v>7961.5556757398781</v>
      </c>
      <c r="AN56" s="15">
        <f>AM57/$C$14</f>
        <v>29009.979383326012</v>
      </c>
      <c r="AO56" s="16">
        <f>MAX((AP55*$C$15+AP57*(1-$C$15))*EXP(-$C$9*$C$13),$C$8-AO55)</f>
        <v>7923.3102445668574</v>
      </c>
      <c r="AP56" s="15">
        <f>AO57/$C$14</f>
        <v>29009.979383326012</v>
      </c>
      <c r="AQ56" s="16">
        <f>MAX((AR55*$C$15+AR57*(1-$C$15))*EXP(-$C$9*$C$13),$C$8-AQ55)</f>
        <v>7889.9421641760264</v>
      </c>
      <c r="AR56" s="15">
        <f>AQ57/$C$14</f>
        <v>29009.979383326012</v>
      </c>
      <c r="AS56" s="16">
        <f>MAX((AT55*$C$15+AT57*(1-$C$15))*EXP(-$C$9*$C$13),$C$8-AS55)</f>
        <v>7862.8089214342745</v>
      </c>
      <c r="AT56" s="15">
        <f>AS57/$C$14</f>
        <v>29009.979383326012</v>
      </c>
      <c r="AU56" s="16">
        <f>MAX((AV55*$C$15+AV57*(1-$C$15))*EXP(-$C$9*$C$13),$C$8-AU55)</f>
        <v>7844.6393668616211</v>
      </c>
      <c r="AV56" s="15">
        <f>AU57/$C$14</f>
        <v>29009.979383326012</v>
      </c>
      <c r="AW56" s="16">
        <f>MAX((AX55*$C$15+AX57*(1-$C$15))*EXP(-$C$9*$C$13),$C$8-AW55)</f>
        <v>7837.0857144910369</v>
      </c>
      <c r="AX56" s="15">
        <f>AW57/$C$14</f>
        <v>29009.979383326012</v>
      </c>
      <c r="AY56" s="16">
        <f>MAX((AZ55*$C$15+AZ57*(1-$C$15))*EXP(-$C$9*$C$13),$C$8-AY55)</f>
        <v>7837.0857144910369</v>
      </c>
      <c r="AZ56" s="15">
        <f>AY57/$C$14</f>
        <v>29009.979383326012</v>
      </c>
      <c r="BA56" s="16">
        <f>MAX((BB55*$C$15+BB57*(1-$C$15))*EXP(-$C$9*$C$13),$C$8-BA55)</f>
        <v>7837.0857144910369</v>
      </c>
      <c r="BB56" s="15">
        <f>BA57/$C$14</f>
        <v>29009.979383326012</v>
      </c>
      <c r="BD56" s="55">
        <f t="shared" si="14"/>
        <v>38424.533333333442</v>
      </c>
      <c r="BE56" s="48">
        <v>3734.2815653390835</v>
      </c>
      <c r="BF56" s="48">
        <v>3697.0630837578378</v>
      </c>
      <c r="BG56" s="48">
        <v>3659.4046319989689</v>
      </c>
      <c r="BH56" s="48">
        <v>3621.2924419874962</v>
      </c>
      <c r="BI56" s="48">
        <v>3582.7120139753611</v>
      </c>
      <c r="BJ56" s="48">
        <v>3543.6480581223072</v>
      </c>
      <c r="BK56" s="48">
        <v>3504.0844294231392</v>
      </c>
      <c r="BL56" s="48">
        <v>3464.0040557786479</v>
      </c>
      <c r="BM56" s="48">
        <v>3423.3888591269888</v>
      </c>
      <c r="BN56" s="48">
        <v>3382.2196695349439</v>
      </c>
      <c r="BO56" s="48">
        <v>3340.4761318738442</v>
      </c>
      <c r="BP56" s="48">
        <v>3298.1366041028527</v>
      </c>
      <c r="BQ56" s="48">
        <v>3255.1780452843168</v>
      </c>
      <c r="BR56" s="48">
        <v>3211.5758904549916</v>
      </c>
      <c r="BS56" s="48">
        <v>3167.3039086977669</v>
      </c>
      <c r="BT56" s="48">
        <v>3122.3340404865712</v>
      </c>
      <c r="BU56" s="48">
        <v>3076.6362106030833</v>
      </c>
      <c r="BV56" s="48">
        <v>3030.1781132801766</v>
      </c>
      <c r="BW56" s="48">
        <v>2982.9249663821515</v>
      </c>
      <c r="BX56" s="48">
        <v>2934.8392314366642</v>
      </c>
      <c r="BY56" s="48">
        <v>2885.8802957819908</v>
      </c>
      <c r="BZ56" s="48">
        <v>2836.0041114335927</v>
      </c>
      <c r="CA56" s="48">
        <v>2785.1627820566841</v>
      </c>
      <c r="CB56" s="48">
        <v>2733.3040847569541</v>
      </c>
      <c r="CC56" s="48">
        <v>2680.3709082762944</v>
      </c>
      <c r="CD56" s="48">
        <v>2626.3005852397919</v>
      </c>
      <c r="CE56" s="48">
        <v>2571.0240941230909</v>
      </c>
      <c r="CF56" s="48">
        <v>2514.4651047196862</v>
      </c>
      <c r="CG56" s="48">
        <v>2456.5388356716767</v>
      </c>
      <c r="CH56" s="48">
        <v>2397.1506831239039</v>
      </c>
      <c r="CI56" s="48">
        <v>2336.1945622617809</v>
      </c>
      <c r="CJ56" s="48">
        <v>2273.5508754773082</v>
      </c>
      <c r="CK56" s="48">
        <v>2209.0839825646249</v>
      </c>
      <c r="CL56" s="48">
        <v>2142.6390040878086</v>
      </c>
      <c r="CM56" s="48">
        <v>2074.0377396827917</v>
      </c>
      <c r="CN56" s="48">
        <v>2003.0734103929956</v>
      </c>
      <c r="CO56" s="48">
        <v>1929.5038054572749</v>
      </c>
      <c r="CP56" s="48">
        <v>1853.0421940236938</v>
      </c>
      <c r="CQ56" s="48">
        <v>1773.3449956984489</v>
      </c>
      <c r="CR56" s="48">
        <v>1689.994624891418</v>
      </c>
      <c r="CS56" s="48">
        <v>1602.4750142656783</v>
      </c>
      <c r="CT56" s="48">
        <v>1510.1357216271276</v>
      </c>
      <c r="CU56" s="48">
        <v>1412.1373914645908</v>
      </c>
      <c r="CV56" s="48">
        <v>1307.3650241167843</v>
      </c>
      <c r="CW56" s="48">
        <v>1194.2822539445126</v>
      </c>
      <c r="CX56" s="48">
        <v>1070.6701804707855</v>
      </c>
      <c r="CY56" s="48">
        <v>933.12008089009237</v>
      </c>
      <c r="CZ56" s="48">
        <v>775.94564963288224</v>
      </c>
      <c r="DA56" s="48">
        <v>588.57197451536013</v>
      </c>
      <c r="DB56" s="48">
        <v>348.48953139973696</v>
      </c>
      <c r="DC56" s="49">
        <f t="shared" si="15"/>
        <v>0</v>
      </c>
      <c r="DD56" s="5">
        <f t="shared" si="10"/>
        <v>34</v>
      </c>
      <c r="DE56" s="30" cm="1">
        <f t="array" ref="DE56">1/2*(rf-q)*DD56*dt-1/2*(sigma^2)*(DD56^2)*dt</f>
        <v>-0.87340657808219158</v>
      </c>
      <c r="DF56" s="25">
        <f t="shared" si="11"/>
        <v>2.7561337041095886</v>
      </c>
      <c r="DG56" s="6">
        <f t="shared" si="12"/>
        <v>-0.88246082465753417</v>
      </c>
      <c r="DH56" s="25">
        <f t="shared" si="13"/>
        <v>3807.4503390311806</v>
      </c>
      <c r="DI56">
        <v>3843.4249501526233</v>
      </c>
      <c r="DJ56" s="27">
        <f t="shared" si="16"/>
        <v>3843.4249501526233</v>
      </c>
    </row>
    <row r="57" spans="4:114" x14ac:dyDescent="0.25">
      <c r="H57" s="16">
        <f>MAX((I56*$C$15+I58*(1-$C$15))*EXP(-$C$9*$C$13),$C$8-H56)</f>
        <v>9620.6480817273186</v>
      </c>
      <c r="I57" s="15">
        <f>H56*$C$14</f>
        <v>27901.11379341473</v>
      </c>
      <c r="J57" s="16">
        <f>MAX((K56*$C$15+K58*(1-$C$15))*EXP(-$C$9*$C$13),$C$8-J56)</f>
        <v>9579.655038641069</v>
      </c>
      <c r="K57" s="15">
        <f>J58/$C$14</f>
        <v>27901.11379341473</v>
      </c>
      <c r="L57" s="16">
        <f>MAX((M56*$C$15+M58*(1-$C$15))*EXP(-$C$9*$C$13),$C$8-L56)</f>
        <v>9538.6843160290155</v>
      </c>
      <c r="M57" s="15">
        <f>L58/$C$14</f>
        <v>27901.11379341473</v>
      </c>
      <c r="N57" s="16">
        <f>MAX((O56*$C$15+O58*(1-$C$15))*EXP(-$C$9*$C$13),$C$8-N56)</f>
        <v>9497.7967633928311</v>
      </c>
      <c r="O57" s="15">
        <f>N58/$C$14</f>
        <v>27901.11379341473</v>
      </c>
      <c r="P57" s="16">
        <f>MAX((Q56*$C$15+Q58*(1-$C$15))*EXP(-$C$9*$C$13),$C$8-P56)</f>
        <v>9457.056639362434</v>
      </c>
      <c r="Q57" s="15">
        <f>P58/$C$14</f>
        <v>27901.11379341473</v>
      </c>
      <c r="R57" s="16">
        <f>MAX((S56*$C$15+S58*(1-$C$15))*EXP(-$C$9*$C$13),$C$8-R56)</f>
        <v>9416.5336992849589</v>
      </c>
      <c r="S57" s="15">
        <f>R58/$C$14</f>
        <v>27901.11379341473</v>
      </c>
      <c r="T57" s="16">
        <f>MAX((U56*$C$15+U58*(1-$C$15))*EXP(-$C$9*$C$13),$C$8-T56)</f>
        <v>9376.328255614626</v>
      </c>
      <c r="U57" s="15">
        <f>T58/$C$14</f>
        <v>27901.11379341473</v>
      </c>
      <c r="V57" s="16">
        <f>MAX((W56*$C$15+W58*(1-$C$15))*EXP(-$C$9*$C$13),$C$8-V56)</f>
        <v>9336.5682162801786</v>
      </c>
      <c r="W57" s="15">
        <f>V58/$C$14</f>
        <v>27901.11379341473</v>
      </c>
      <c r="X57" s="16">
        <f>MAX((Y56*$C$15+Y58*(1-$C$15))*EXP(-$C$9*$C$13),$C$8-X56)</f>
        <v>9297.3874422740701</v>
      </c>
      <c r="Y57" s="15">
        <f>X58/$C$14</f>
        <v>27901.11379341473</v>
      </c>
      <c r="Z57" s="16">
        <f>MAX((AA56*$C$15+AA58*(1-$C$15))*EXP(-$C$9*$C$13),$C$8-Z56)</f>
        <v>9258.919979637596</v>
      </c>
      <c r="AA57" s="15">
        <f>Z58/$C$14</f>
        <v>27901.11379341473</v>
      </c>
      <c r="AB57" s="16">
        <f>MAX((AC56*$C$15+AC58*(1-$C$15))*EXP(-$C$9*$C$13),$C$8-AB56)</f>
        <v>9221.4025433110801</v>
      </c>
      <c r="AC57" s="15">
        <f>AB58/$C$14</f>
        <v>27901.11379341473</v>
      </c>
      <c r="AD57" s="16">
        <f>MAX((AE56*$C$15+AE58*(1-$C$15))*EXP(-$C$9*$C$13),$C$8-AD56)</f>
        <v>9185.0985130189129</v>
      </c>
      <c r="AE57" s="15">
        <f>AD58/$C$14</f>
        <v>27901.11379341473</v>
      </c>
      <c r="AF57" s="16">
        <f>MAX((AG56*$C$15+AG58*(1-$C$15))*EXP(-$C$9*$C$13),$C$8-AF56)</f>
        <v>9150.2422405506313</v>
      </c>
      <c r="AG57" s="15">
        <f>AF58/$C$14</f>
        <v>27901.11379341473</v>
      </c>
      <c r="AH57" s="16">
        <f>MAX((AI56*$C$15+AI58*(1-$C$15))*EXP(-$C$9*$C$13),$C$8-AH56)</f>
        <v>9117.2608565132759</v>
      </c>
      <c r="AI57" s="15">
        <f>AH58/$C$14</f>
        <v>27901.11379341473</v>
      </c>
      <c r="AJ57" s="16">
        <f>MAX((AK56*$C$15+AK58*(1-$C$15))*EXP(-$C$9*$C$13),$C$8-AJ56)</f>
        <v>9086.6840929736663</v>
      </c>
      <c r="AK57" s="15">
        <f>AJ58/$C$14</f>
        <v>27901.11379341473</v>
      </c>
      <c r="AL57" s="16">
        <f>MAX((AM56*$C$15+AM58*(1-$C$15))*EXP(-$C$9*$C$13),$C$8-AL56)</f>
        <v>9058.8448650564751</v>
      </c>
      <c r="AM57" s="15">
        <f>AL58/$C$14</f>
        <v>27901.11379341473</v>
      </c>
      <c r="AN57" s="16">
        <f>MAX((AO56*$C$15+AO58*(1-$C$15))*EXP(-$C$9*$C$13),$C$8-AN56)</f>
        <v>9034.6852978031748</v>
      </c>
      <c r="AO57" s="15">
        <f>AN58/$C$14</f>
        <v>27901.11379341473</v>
      </c>
      <c r="AP57" s="16">
        <f>MAX((AQ56*$C$15+AQ58*(1-$C$15))*EXP(-$C$9*$C$13),$C$8-AP56)</f>
        <v>9014.7140969941775</v>
      </c>
      <c r="AQ57" s="15">
        <f>AP58/$C$14</f>
        <v>27901.11379341473</v>
      </c>
      <c r="AR57" s="16">
        <f>MAX((AS56*$C$15+AS58*(1-$C$15))*EXP(-$C$9*$C$13),$C$8-AR56)</f>
        <v>9000.2345284928524</v>
      </c>
      <c r="AS57" s="15">
        <f>AR58/$C$14</f>
        <v>27901.11379341473</v>
      </c>
      <c r="AT57" s="16">
        <f>MAX((AU56*$C$15+AU58*(1-$C$15))*EXP(-$C$9*$C$13),$C$8-AT56)</f>
        <v>8991.329132414583</v>
      </c>
      <c r="AU57" s="15">
        <f>AT58/$C$14</f>
        <v>27901.11379341473</v>
      </c>
      <c r="AV57" s="16">
        <f>MAX((AW56*$C$15+AW58*(1-$C$15))*EXP(-$C$9*$C$13),$C$8-AV56)</f>
        <v>8990.0206166739881</v>
      </c>
      <c r="AW57" s="15">
        <f>AV58/$C$14</f>
        <v>27901.11379341473</v>
      </c>
      <c r="AX57" s="16">
        <f>MAX((AY56*$C$15+AY58*(1-$C$15))*EXP(-$C$9*$C$13),$C$8-AX56)</f>
        <v>8990.0206166739881</v>
      </c>
      <c r="AY57" s="15">
        <f>AX58/$C$14</f>
        <v>27901.11379341473</v>
      </c>
      <c r="AZ57" s="16">
        <f>MAX((BA56*$C$15+BA58*(1-$C$15))*EXP(-$C$9*$C$13),$C$8-AZ56)</f>
        <v>8990.0206166739881</v>
      </c>
      <c r="BA57" s="15">
        <f>AZ58/$C$14</f>
        <v>27901.11379341473</v>
      </c>
      <c r="BB57" s="16">
        <f>MAX(0,$C$8-BB56)</f>
        <v>8990.0206166739881</v>
      </c>
      <c r="BD57" s="55">
        <f t="shared" si="14"/>
        <v>37294.400000000111</v>
      </c>
      <c r="BE57" s="48">
        <v>4228.725573347273</v>
      </c>
      <c r="BF57" s="48">
        <v>4192.2960194166671</v>
      </c>
      <c r="BG57" s="48">
        <v>4155.4366492083836</v>
      </c>
      <c r="BH57" s="48">
        <v>4118.1340494579408</v>
      </c>
      <c r="BI57" s="48">
        <v>4080.374102757813</v>
      </c>
      <c r="BJ57" s="48">
        <v>4042.1419317797358</v>
      </c>
      <c r="BK57" s="48">
        <v>4003.4218357222771</v>
      </c>
      <c r="BL57" s="48">
        <v>3964.1972186749567</v>
      </c>
      <c r="BM57" s="48">
        <v>3924.4505100419847</v>
      </c>
      <c r="BN57" s="48">
        <v>3884.1630776046336</v>
      </c>
      <c r="BO57" s="48">
        <v>3843.315133955638</v>
      </c>
      <c r="BP57" s="48">
        <v>3801.8856366388204</v>
      </c>
      <c r="BQ57" s="48">
        <v>3759.8521811775654</v>
      </c>
      <c r="BR57" s="48">
        <v>3717.1908843818242</v>
      </c>
      <c r="BS57" s="48">
        <v>3673.8762534477091</v>
      </c>
      <c r="BT57" s="48">
        <v>3629.8810352687315</v>
      </c>
      <c r="BU57" s="48">
        <v>3585.1760405603636</v>
      </c>
      <c r="BV57" s="48">
        <v>3539.7299382885471</v>
      </c>
      <c r="BW57" s="48">
        <v>3493.5090165415418</v>
      </c>
      <c r="BX57" s="48">
        <v>3446.4769070884836</v>
      </c>
      <c r="BY57" s="48">
        <v>3398.5942719934988</v>
      </c>
      <c r="BZ57" s="48">
        <v>3349.818450748362</v>
      </c>
      <c r="CA57" s="48">
        <v>3300.103063913914</v>
      </c>
      <c r="CB57" s="48">
        <v>3249.3975630794116</v>
      </c>
      <c r="CC57" s="48">
        <v>3197.6467077928801</v>
      </c>
      <c r="CD57" s="48">
        <v>3144.7899418117568</v>
      </c>
      <c r="CE57" s="48">
        <v>3090.760638477775</v>
      </c>
      <c r="CF57" s="48">
        <v>3035.4851875295799</v>
      </c>
      <c r="CG57" s="48">
        <v>2978.8818950243372</v>
      </c>
      <c r="CH57" s="48">
        <v>2920.8596659016498</v>
      </c>
      <c r="CI57" s="48">
        <v>2861.3164284737495</v>
      </c>
      <c r="CJ57" s="48">
        <v>2800.1372323637288</v>
      </c>
      <c r="CK57" s="48">
        <v>2737.1919012407343</v>
      </c>
      <c r="CL57" s="48">
        <v>2672.3320610879323</v>
      </c>
      <c r="CM57" s="48">
        <v>2605.3873196961549</v>
      </c>
      <c r="CN57" s="48">
        <v>2536.1603333254966</v>
      </c>
      <c r="CO57" s="48">
        <v>2464.4204108692716</v>
      </c>
      <c r="CP57" s="48">
        <v>2389.8951356160055</v>
      </c>
      <c r="CQ57" s="48">
        <v>2312.2591391098013</v>
      </c>
      <c r="CR57" s="48">
        <v>2231.1185721554066</v>
      </c>
      <c r="CS57" s="48">
        <v>2145.9890328049769</v>
      </c>
      <c r="CT57" s="48">
        <v>2056.2635822264456</v>
      </c>
      <c r="CU57" s="48">
        <v>1961.1652174992059</v>
      </c>
      <c r="CV57" s="48">
        <v>1859.6734969361305</v>
      </c>
      <c r="CW57" s="48">
        <v>1750.4055460398824</v>
      </c>
      <c r="CX57" s="48">
        <v>1631.4148180983373</v>
      </c>
      <c r="CY57" s="48">
        <v>1499.8378133399769</v>
      </c>
      <c r="CZ57" s="48">
        <v>1351.2528607471158</v>
      </c>
      <c r="DA57" s="48">
        <v>1178.5016955829892</v>
      </c>
      <c r="DB57" s="48">
        <v>969.66955999718823</v>
      </c>
      <c r="DC57" s="49">
        <f t="shared" si="15"/>
        <v>705.59999999999854</v>
      </c>
      <c r="DD57" s="5">
        <f t="shared" si="10"/>
        <v>33</v>
      </c>
      <c r="DE57" s="30" cm="1">
        <f t="array" ref="DE57">1/2*(rf-q)*DD57*dt-1/2*(sigma^2)*(DD57^2)*dt</f>
        <v>-0.82265602808219151</v>
      </c>
      <c r="DF57" s="25">
        <f t="shared" si="11"/>
        <v>2.6543663027397257</v>
      </c>
      <c r="DG57" s="6">
        <f t="shared" si="12"/>
        <v>-0.83144397328767106</v>
      </c>
      <c r="DH57" s="25">
        <f t="shared" si="13"/>
        <v>3594.7456507969791</v>
      </c>
      <c r="DI57">
        <v>4335.5598887298456</v>
      </c>
      <c r="DJ57" s="27">
        <f t="shared" si="16"/>
        <v>4335.5598887298456</v>
      </c>
    </row>
    <row r="58" spans="4:114" x14ac:dyDescent="0.25">
      <c r="I58" s="16">
        <f>MAX((J57*$C$15+J59*(1-$C$15))*EXP(-$C$9*$C$13),$C$8-I57)</f>
        <v>10522.250735548481</v>
      </c>
      <c r="J58" s="15">
        <f>I57*$C$14</f>
        <v>26834.633028402564</v>
      </c>
      <c r="K58" s="16">
        <f>MAX((L57*$C$15+L59*(1-$C$15))*EXP(-$C$9*$C$13),$C$8-K57)</f>
        <v>10489.086982655779</v>
      </c>
      <c r="L58" s="15">
        <f>K59/$C$14</f>
        <v>26834.633028402564</v>
      </c>
      <c r="M58" s="16">
        <f>MAX((N57*$C$15+N59*(1-$C$15))*EXP(-$C$9*$C$13),$C$8-M57)</f>
        <v>10456.254130096791</v>
      </c>
      <c r="N58" s="15">
        <f>M59/$C$14</f>
        <v>26834.633028402564</v>
      </c>
      <c r="O58" s="16">
        <f>MAX((P57*$C$15+P59*(1-$C$15))*EXP(-$C$9*$C$13),$C$8-O57)</f>
        <v>10423.839591185062</v>
      </c>
      <c r="P58" s="15">
        <f>O59/$C$14</f>
        <v>26834.633028402564</v>
      </c>
      <c r="Q58" s="16">
        <f>MAX((R57*$C$15+R59*(1-$C$15))*EXP(-$C$9*$C$13),$C$8-Q57)</f>
        <v>10391.930271683046</v>
      </c>
      <c r="R58" s="15">
        <f>Q59/$C$14</f>
        <v>26834.633028402564</v>
      </c>
      <c r="S58" s="16">
        <f>MAX((T57*$C$15+T59*(1-$C$15))*EXP(-$C$9*$C$13),$C$8-S57)</f>
        <v>10360.605169478831</v>
      </c>
      <c r="T58" s="15">
        <f>S59/$C$14</f>
        <v>26834.633028402564</v>
      </c>
      <c r="U58" s="16">
        <f>MAX((V57*$C$15+V59*(1-$C$15))*EXP(-$C$9*$C$13),$C$8-U57)</f>
        <v>10329.986955425913</v>
      </c>
      <c r="V58" s="15">
        <f>U59/$C$14</f>
        <v>26834.633028402564</v>
      </c>
      <c r="W58" s="16">
        <f>MAX((X57*$C$15+X59*(1-$C$15))*EXP(-$C$9*$C$13),$C$8-W57)</f>
        <v>10300.243507042265</v>
      </c>
      <c r="X58" s="15">
        <f>W59/$C$14</f>
        <v>26834.633028402564</v>
      </c>
      <c r="Y58" s="16">
        <f>MAX((Z57*$C$15+Z59*(1-$C$15))*EXP(-$C$9*$C$13),$C$8-Y57)</f>
        <v>10271.53904344313</v>
      </c>
      <c r="Z58" s="15">
        <f>Y59/$C$14</f>
        <v>26834.633028402564</v>
      </c>
      <c r="AA58" s="16">
        <f>MAX((AB57*$C$15+AB59*(1-$C$15))*EXP(-$C$9*$C$13),$C$8-AA57)</f>
        <v>10243.97940585073</v>
      </c>
      <c r="AB58" s="15">
        <f>AA59/$C$14</f>
        <v>26834.633028402564</v>
      </c>
      <c r="AC58" s="16">
        <f>MAX((AD57*$C$15+AD59*(1-$C$15))*EXP(-$C$9*$C$13),$C$8-AC57)</f>
        <v>10217.846472675768</v>
      </c>
      <c r="AD58" s="15">
        <f>AC59/$C$14</f>
        <v>26834.633028402564</v>
      </c>
      <c r="AE58" s="16">
        <f>MAX((AF57*$C$15+AF59*(1-$C$15))*EXP(-$C$9*$C$13),$C$8-AE57)</f>
        <v>10193.452797122412</v>
      </c>
      <c r="AF58" s="15">
        <f>AE59/$C$14</f>
        <v>26834.633028402564</v>
      </c>
      <c r="AG58" s="16">
        <f>MAX((AH57*$C$15+AH59*(1-$C$15))*EXP(-$C$9*$C$13),$C$8-AG57)</f>
        <v>10170.931390043088</v>
      </c>
      <c r="AH58" s="15">
        <f>AG59/$C$14</f>
        <v>26834.633028402564</v>
      </c>
      <c r="AI58" s="16">
        <f>MAX((AJ57*$C$15+AJ59*(1-$C$15))*EXP(-$C$9*$C$13),$C$8-AI57)</f>
        <v>10150.713876650409</v>
      </c>
      <c r="AJ58" s="15">
        <f>AI59/$C$14</f>
        <v>26834.633028402564</v>
      </c>
      <c r="AK58" s="16">
        <f>MAX((AL57*$C$15+AL59*(1-$C$15))*EXP(-$C$9*$C$13),$C$8-AK57)</f>
        <v>10133.419934761698</v>
      </c>
      <c r="AL58" s="15">
        <f>AK59/$C$14</f>
        <v>26834.633028402564</v>
      </c>
      <c r="AM58" s="16">
        <f>MAX((AN57*$C$15+AN59*(1-$C$15))*EXP(-$C$9*$C$13),$C$8-AM57)</f>
        <v>10118.924906935985</v>
      </c>
      <c r="AN58" s="15">
        <f>AM59/$C$14</f>
        <v>26834.633028402564</v>
      </c>
      <c r="AO58" s="16">
        <f>MAX((AP57*$C$15+AP59*(1-$C$15))*EXP(-$C$9*$C$13),$C$8-AO57)</f>
        <v>10108.300168087257</v>
      </c>
      <c r="AP58" s="15">
        <f>AO59/$C$14</f>
        <v>26834.633028402564</v>
      </c>
      <c r="AQ58" s="16">
        <f>MAX((AR57*$C$15+AR59*(1-$C$15))*EXP(-$C$9*$C$13),$C$8-AQ57)</f>
        <v>10101.203335194017</v>
      </c>
      <c r="AR58" s="15">
        <f>AQ59/$C$14</f>
        <v>26834.633028402564</v>
      </c>
      <c r="AS58" s="16">
        <f>MAX((AT57*$C$15+AT59*(1-$C$15))*EXP(-$C$9*$C$13),$C$8-AS57)</f>
        <v>10098.88620658527</v>
      </c>
      <c r="AT58" s="15">
        <f>AS59/$C$14</f>
        <v>26834.633028402564</v>
      </c>
      <c r="AU58" s="16">
        <f>MAX((AV57*$C$15+AV59*(1-$C$15))*EXP(-$C$9*$C$13),$C$8-AU57)</f>
        <v>10098.88620658527</v>
      </c>
      <c r="AV58" s="15">
        <f>AU59/$C$14</f>
        <v>26834.633028402564</v>
      </c>
      <c r="AW58" s="16">
        <f>MAX((AX57*$C$15+AX59*(1-$C$15))*EXP(-$C$9*$C$13),$C$8-AW57)</f>
        <v>10098.88620658527</v>
      </c>
      <c r="AX58" s="15">
        <f>AW59/$C$14</f>
        <v>26834.633028402564</v>
      </c>
      <c r="AY58" s="16">
        <f>MAX((AZ57*$C$15+AZ59*(1-$C$15))*EXP(-$C$9*$C$13),$C$8-AY57)</f>
        <v>10098.88620658527</v>
      </c>
      <c r="AZ58" s="15">
        <f>AY59/$C$14</f>
        <v>26834.633028402564</v>
      </c>
      <c r="BA58" s="16">
        <f>MAX((BB57*$C$15+BB59*(1-$C$15))*EXP(-$C$9*$C$13),$C$8-BA57)</f>
        <v>10098.88620658527</v>
      </c>
      <c r="BB58" s="15">
        <f>BA59/$C$14</f>
        <v>26834.633028402564</v>
      </c>
      <c r="BD58" s="55">
        <f t="shared" si="14"/>
        <v>36164.266666666779</v>
      </c>
      <c r="BE58" s="48">
        <v>4774.1031608398007</v>
      </c>
      <c r="BF58" s="48">
        <v>4738.9816434898585</v>
      </c>
      <c r="BG58" s="48">
        <v>4703.4567379220662</v>
      </c>
      <c r="BH58" s="48">
        <v>4667.5162410667081</v>
      </c>
      <c r="BI58" s="48">
        <v>4631.1473411168845</v>
      </c>
      <c r="BJ58" s="48">
        <v>4594.3365738377224</v>
      </c>
      <c r="BK58" s="48">
        <v>4557.0697703663018</v>
      </c>
      <c r="BL58" s="48">
        <v>4519.3319954984236</v>
      </c>
      <c r="BM58" s="48">
        <v>4481.1074763197166</v>
      </c>
      <c r="BN58" s="48">
        <v>4442.3795222567805</v>
      </c>
      <c r="BO58" s="48">
        <v>4403.1304388889412</v>
      </c>
      <c r="BP58" s="48">
        <v>4363.341438575877</v>
      </c>
      <c r="BQ58" s="48">
        <v>4322.9925503352997</v>
      </c>
      <c r="BR58" s="48">
        <v>4282.0625289082727</v>
      </c>
      <c r="BS58" s="48">
        <v>4240.5287590163189</v>
      </c>
      <c r="BT58" s="48">
        <v>4198.3671473343393</v>
      </c>
      <c r="BU58" s="48">
        <v>4155.5519939835658</v>
      </c>
      <c r="BV58" s="48">
        <v>4112.0558370684603</v>
      </c>
      <c r="BW58" s="48">
        <v>4067.8492643757431</v>
      </c>
      <c r="BX58" s="48">
        <v>4022.9006885430986</v>
      </c>
      <c r="BY58" s="48">
        <v>3977.1760860790519</v>
      </c>
      <c r="BZ58" s="48">
        <v>3930.6387056026879</v>
      </c>
      <c r="CA58" s="48">
        <v>3883.2487534582442</v>
      </c>
      <c r="CB58" s="48">
        <v>3834.9630607705021</v>
      </c>
      <c r="CC58" s="48">
        <v>3785.7347217379738</v>
      </c>
      <c r="CD58" s="48">
        <v>3735.5126732446242</v>
      </c>
      <c r="CE58" s="48">
        <v>3684.2411766060177</v>
      </c>
      <c r="CF58" s="48">
        <v>3631.8591730532771</v>
      </c>
      <c r="CG58" s="48">
        <v>3578.2994903569174</v>
      </c>
      <c r="CH58" s="48">
        <v>3523.487893157805</v>
      </c>
      <c r="CI58" s="48">
        <v>3467.3419877342594</v>
      </c>
      <c r="CJ58" s="48">
        <v>3409.7699916606548</v>
      </c>
      <c r="CK58" s="48">
        <v>3350.6693293590997</v>
      </c>
      <c r="CL58" s="48">
        <v>3289.9249184567498</v>
      </c>
      <c r="CM58" s="48">
        <v>3227.4069647553429</v>
      </c>
      <c r="CN58" s="48">
        <v>3162.9681328617198</v>
      </c>
      <c r="CO58" s="48">
        <v>3096.4400203013429</v>
      </c>
      <c r="CP58" s="48">
        <v>3027.6289560390237</v>
      </c>
      <c r="CQ58" s="48">
        <v>2956.3111162456325</v>
      </c>
      <c r="CR58" s="48">
        <v>2882.226587840983</v>
      </c>
      <c r="CS58" s="48">
        <v>2805.071768481414</v>
      </c>
      <c r="CT58" s="48">
        <v>2724.4902165799622</v>
      </c>
      <c r="CU58" s="48">
        <v>2640.0636144062851</v>
      </c>
      <c r="CV58" s="48">
        <v>2551.3073222470157</v>
      </c>
      <c r="CW58" s="48">
        <v>2457.6783345350636</v>
      </c>
      <c r="CX58" s="48">
        <v>2358.61936270353</v>
      </c>
      <c r="CY58" s="48">
        <v>2253.7111011876345</v>
      </c>
      <c r="CZ58" s="48">
        <v>2143.1351260976676</v>
      </c>
      <c r="DA58" s="48">
        <v>2028.9658744910362</v>
      </c>
      <c r="DB58" s="48">
        <v>1918.7954993689486</v>
      </c>
      <c r="DC58" s="49">
        <f t="shared" si="15"/>
        <v>1835.7333333333299</v>
      </c>
      <c r="DD58" s="5">
        <f t="shared" si="10"/>
        <v>32</v>
      </c>
      <c r="DE58" s="30" cm="1">
        <f t="array" ref="DE58">1/2*(rf-q)*DD58*dt-1/2*(sigma^2)*(DD58^2)*dt</f>
        <v>-0.77342439452054779</v>
      </c>
      <c r="DF58" s="25">
        <f t="shared" si="11"/>
        <v>2.5556367342465753</v>
      </c>
      <c r="DG58" s="6">
        <f t="shared" si="12"/>
        <v>-0.78194603835616427</v>
      </c>
      <c r="DH58" s="25">
        <f t="shared" si="13"/>
        <v>3007.4486805307706</v>
      </c>
      <c r="DI58">
        <v>4877.1610160362088</v>
      </c>
      <c r="DJ58" s="27">
        <f t="shared" si="16"/>
        <v>4877.1610160362088</v>
      </c>
    </row>
    <row r="59" spans="4:114" x14ac:dyDescent="0.25">
      <c r="J59" s="16">
        <f>MAX((K58*$C$15+K60*(1-$C$15))*EXP(-$C$9*$C$13),$C$8-J58)</f>
        <v>11434.314845599774</v>
      </c>
      <c r="K59" s="15">
        <f>J58*$C$14</f>
        <v>25808.916988073517</v>
      </c>
      <c r="L59" s="16">
        <f>MAX((M58*$C$15+M60*(1-$C$15))*EXP(-$C$9*$C$13),$C$8-L58)</f>
        <v>11408.642324169004</v>
      </c>
      <c r="M59" s="15">
        <f>L60/$C$14</f>
        <v>25808.916988073517</v>
      </c>
      <c r="N59" s="16">
        <f>MAX((O58*$C$15+O60*(1-$C$15))*EXP(-$C$9*$C$13),$C$8-N58)</f>
        <v>11383.539137179108</v>
      </c>
      <c r="O59" s="15">
        <f>N60/$C$14</f>
        <v>25808.916988073517</v>
      </c>
      <c r="P59" s="16">
        <f>MAX((Q58*$C$15+Q60*(1-$C$15))*EXP(-$C$9*$C$13),$C$8-P58)</f>
        <v>11359.115013244955</v>
      </c>
      <c r="Q59" s="15">
        <f>P60/$C$14</f>
        <v>25808.916988073517</v>
      </c>
      <c r="R59" s="16">
        <f>MAX((S58*$C$15+S60*(1-$C$15))*EXP(-$C$9*$C$13),$C$8-R58)</f>
        <v>11335.473398401549</v>
      </c>
      <c r="S59" s="15">
        <f>R60/$C$14</f>
        <v>25808.916988073517</v>
      </c>
      <c r="T59" s="16">
        <f>MAX((U58*$C$15+U60*(1-$C$15))*EXP(-$C$9*$C$13),$C$8-T58)</f>
        <v>11312.672831965971</v>
      </c>
      <c r="U59" s="15">
        <f>T60/$C$14</f>
        <v>25808.916988073517</v>
      </c>
      <c r="V59" s="16">
        <f>MAX((W58*$C$15+W60*(1-$C$15))*EXP(-$C$9*$C$13),$C$8-V58)</f>
        <v>11290.831011990989</v>
      </c>
      <c r="W59" s="15">
        <f>V60/$C$14</f>
        <v>25808.916988073517</v>
      </c>
      <c r="X59" s="16">
        <f>MAX((Y58*$C$15+Y60*(1-$C$15))*EXP(-$C$9*$C$13),$C$8-X58)</f>
        <v>11270.148620001219</v>
      </c>
      <c r="Y59" s="15">
        <f>X60/$C$14</f>
        <v>25808.916988073517</v>
      </c>
      <c r="Z59" s="16">
        <f>MAX((AA58*$C$15+AA60*(1-$C$15))*EXP(-$C$9*$C$13),$C$8-Z58)</f>
        <v>11250.818980665999</v>
      </c>
      <c r="AA59" s="15">
        <f>Z60/$C$14</f>
        <v>25808.916988073517</v>
      </c>
      <c r="AB59" s="16">
        <f>MAX((AC58*$C$15+AC60*(1-$C$15))*EXP(-$C$9*$C$13),$C$8-AB58)</f>
        <v>11232.822119254262</v>
      </c>
      <c r="AC59" s="15">
        <f>AB60/$C$14</f>
        <v>25808.916988073517</v>
      </c>
      <c r="AD59" s="16">
        <f>MAX((AE58*$C$15+AE60*(1-$C$15))*EXP(-$C$9*$C$13),$C$8-AD58)</f>
        <v>11216.457853056398</v>
      </c>
      <c r="AE59" s="15">
        <f>AD60/$C$14</f>
        <v>25808.916988073517</v>
      </c>
      <c r="AF59" s="16">
        <f>MAX((AG58*$C$15+AG60*(1-$C$15))*EXP(-$C$9*$C$13),$C$8-AF58)</f>
        <v>11202.114110859253</v>
      </c>
      <c r="AG59" s="15">
        <f>AF60/$C$14</f>
        <v>25808.916988073517</v>
      </c>
      <c r="AH59" s="16">
        <f>MAX((AI58*$C$15+AI60*(1-$C$15))*EXP(-$C$9*$C$13),$C$8-AH58)</f>
        <v>11189.641095571169</v>
      </c>
      <c r="AI59" s="15">
        <f>AH60/$C$14</f>
        <v>25808.916988073517</v>
      </c>
      <c r="AJ59" s="16">
        <f>MAX((AK58*$C$15+AK60*(1-$C$15))*EXP(-$C$9*$C$13),$C$8-AJ58)</f>
        <v>11179.376301068105</v>
      </c>
      <c r="AK59" s="15">
        <f>AJ60/$C$14</f>
        <v>25808.916988073517</v>
      </c>
      <c r="AL59" s="16">
        <f>MAX((AM58*$C$15+AM60*(1-$C$15))*EXP(-$C$9*$C$13),$C$8-AL58)</f>
        <v>11172.215530537662</v>
      </c>
      <c r="AM59" s="15">
        <f>AL60/$C$14</f>
        <v>25808.916988073517</v>
      </c>
      <c r="AN59" s="16">
        <f>MAX((AO58*$C$15+AO60*(1-$C$15))*EXP(-$C$9*$C$13),$C$8-AN58)</f>
        <v>11167.008055181137</v>
      </c>
      <c r="AO59" s="15">
        <f>AN60/$C$14</f>
        <v>25808.916988073517</v>
      </c>
      <c r="AP59" s="16">
        <f>MAX((AQ58*$C$15+AQ60*(1-$C$15))*EXP(-$C$9*$C$13),$C$8-AP58)</f>
        <v>11165.366971597436</v>
      </c>
      <c r="AQ59" s="15">
        <f>AP60/$C$14</f>
        <v>25808.916988073517</v>
      </c>
      <c r="AR59" s="16">
        <f>MAX((AS58*$C$15+AS60*(1-$C$15))*EXP(-$C$9*$C$13),$C$8-AR58)</f>
        <v>11165.366971597436</v>
      </c>
      <c r="AS59" s="15">
        <f>AR60/$C$14</f>
        <v>25808.916988073517</v>
      </c>
      <c r="AT59" s="16">
        <f>MAX((AU58*$C$15+AU60*(1-$C$15))*EXP(-$C$9*$C$13),$C$8-AT58)</f>
        <v>11165.366971597436</v>
      </c>
      <c r="AU59" s="15">
        <f>AT60/$C$14</f>
        <v>25808.916988073517</v>
      </c>
      <c r="AV59" s="16">
        <f>MAX((AW58*$C$15+AW60*(1-$C$15))*EXP(-$C$9*$C$13),$C$8-AV58)</f>
        <v>11165.366971597436</v>
      </c>
      <c r="AW59" s="15">
        <f>AV60/$C$14</f>
        <v>25808.916988073517</v>
      </c>
      <c r="AX59" s="16">
        <f>MAX((AY58*$C$15+AY60*(1-$C$15))*EXP(-$C$9*$C$13),$C$8-AX58)</f>
        <v>11165.366971597436</v>
      </c>
      <c r="AY59" s="15">
        <f>AX60/$C$14</f>
        <v>25808.916988073517</v>
      </c>
      <c r="AZ59" s="16">
        <f>MAX((BA58*$C$15+BA60*(1-$C$15))*EXP(-$C$9*$C$13),$C$8-AZ58)</f>
        <v>11165.366971597436</v>
      </c>
      <c r="BA59" s="15">
        <f>AZ60/$C$14</f>
        <v>25808.916988073517</v>
      </c>
      <c r="BB59" s="16">
        <f>MAX(0,$C$8-BB58)</f>
        <v>11165.366971597436</v>
      </c>
      <c r="BD59" s="55">
        <f t="shared" si="14"/>
        <v>35034.133333333448</v>
      </c>
      <c r="BE59" s="48">
        <v>5372.543958402126</v>
      </c>
      <c r="BF59" s="48">
        <v>5339.2543580979491</v>
      </c>
      <c r="BG59" s="48">
        <v>5305.6037279031207</v>
      </c>
      <c r="BH59" s="48">
        <v>5271.581871142469</v>
      </c>
      <c r="BI59" s="48">
        <v>5237.1781351411673</v>
      </c>
      <c r="BJ59" s="48">
        <v>5202.3813907410422</v>
      </c>
      <c r="BK59" s="48">
        <v>5167.1800038600031</v>
      </c>
      <c r="BL59" s="48">
        <v>5131.5617962738979</v>
      </c>
      <c r="BM59" s="48">
        <v>5095.5139936142441</v>
      </c>
      <c r="BN59" s="48">
        <v>5059.0231605248755</v>
      </c>
      <c r="BO59" s="48">
        <v>5022.0751260195821</v>
      </c>
      <c r="BP59" s="48">
        <v>4984.6549056521862</v>
      </c>
      <c r="BQ59" s="48">
        <v>4946.746629448362</v>
      </c>
      <c r="BR59" s="48">
        <v>4908.3334831985349</v>
      </c>
      <c r="BS59" s="48">
        <v>4869.3976641098061</v>
      </c>
      <c r="BT59" s="48">
        <v>4829.9203423529571</v>
      </c>
      <c r="BU59" s="48">
        <v>4789.8816152543613</v>
      </c>
      <c r="BV59" s="48">
        <v>4749.2604448951552</v>
      </c>
      <c r="BW59" s="48">
        <v>4708.0345683742526</v>
      </c>
      <c r="BX59" s="48">
        <v>4666.180370791516</v>
      </c>
      <c r="BY59" s="48">
        <v>4623.672716967937</v>
      </c>
      <c r="BZ59" s="48">
        <v>4580.4847506159604</v>
      </c>
      <c r="CA59" s="48">
        <v>4536.5876867183497</v>
      </c>
      <c r="CB59" s="48">
        <v>4491.9506340432818</v>
      </c>
      <c r="CC59" s="48">
        <v>4446.540472325999</v>
      </c>
      <c r="CD59" s="48">
        <v>4400.3217638729211</v>
      </c>
      <c r="CE59" s="48">
        <v>4353.2566373558138</v>
      </c>
      <c r="CF59" s="48">
        <v>4305.3046071743129</v>
      </c>
      <c r="CG59" s="48">
        <v>4256.4222919671029</v>
      </c>
      <c r="CH59" s="48">
        <v>4206.5630246420124</v>
      </c>
      <c r="CI59" s="48">
        <v>4155.6764170233246</v>
      </c>
      <c r="CJ59" s="48">
        <v>4103.7080333199519</v>
      </c>
      <c r="CK59" s="48">
        <v>4050.5993381712583</v>
      </c>
      <c r="CL59" s="48">
        <v>3996.2878897058358</v>
      </c>
      <c r="CM59" s="48">
        <v>3940.7075742670177</v>
      </c>
      <c r="CN59" s="48">
        <v>3883.788803782264</v>
      </c>
      <c r="CO59" s="48">
        <v>3825.4587637420782</v>
      </c>
      <c r="CP59" s="48">
        <v>3765.6423158202788</v>
      </c>
      <c r="CQ59" s="48">
        <v>3704.2648842149392</v>
      </c>
      <c r="CR59" s="48">
        <v>3641.2583662721941</v>
      </c>
      <c r="CS59" s="48">
        <v>3576.5701653435599</v>
      </c>
      <c r="CT59" s="48">
        <v>3510.1769771890945</v>
      </c>
      <c r="CU59" s="48">
        <v>3442.1087283418187</v>
      </c>
      <c r="CV59" s="48">
        <v>3372.4977818977081</v>
      </c>
      <c r="CW59" s="48">
        <v>3301.6685352112459</v>
      </c>
      <c r="CX59" s="48">
        <v>3230.28966763277</v>
      </c>
      <c r="CY59" s="48">
        <v>3159.635943049524</v>
      </c>
      <c r="CZ59" s="48">
        <v>3092.0955892819643</v>
      </c>
      <c r="DA59" s="48">
        <v>3031.9440485323403</v>
      </c>
      <c r="DB59" s="48">
        <v>2986.4349712408812</v>
      </c>
      <c r="DC59" s="49">
        <f t="shared" si="15"/>
        <v>2965.8666666666613</v>
      </c>
      <c r="DD59" s="5">
        <f t="shared" si="10"/>
        <v>31</v>
      </c>
      <c r="DE59" s="30" cm="1">
        <f t="array" ref="DE59">1/2*(rf-q)*DD59*dt-1/2*(sigma^2)*(DD59^2)*dt</f>
        <v>-0.72571167739726006</v>
      </c>
      <c r="DF59" s="25">
        <f t="shared" si="11"/>
        <v>2.4599449986301369</v>
      </c>
      <c r="DG59" s="6">
        <f t="shared" si="12"/>
        <v>-0.7339670198630136</v>
      </c>
      <c r="DH59" s="25">
        <f t="shared" si="13"/>
        <v>2472.2119987108053</v>
      </c>
      <c r="DI59">
        <v>5470.34201206953</v>
      </c>
      <c r="DJ59" s="27">
        <f t="shared" si="16"/>
        <v>5470.34201206953</v>
      </c>
    </row>
    <row r="60" spans="4:114" x14ac:dyDescent="0.25">
      <c r="K60" s="16">
        <f>MAX((L59*$C$15+L61*(1-$C$15))*EXP(-$C$9*$C$13),$C$8-K59)</f>
        <v>12349.38705824725</v>
      </c>
      <c r="L60" s="15">
        <f>K59*$C$14</f>
        <v>24822.407498259796</v>
      </c>
      <c r="M60" s="16">
        <f>MAX((N59*$C$15+N61*(1-$C$15))*EXP(-$C$9*$C$13),$C$8-M59)</f>
        <v>12330.587760654716</v>
      </c>
      <c r="N60" s="15">
        <f>M61/$C$14</f>
        <v>24822.407498259796</v>
      </c>
      <c r="O60" s="16">
        <f>MAX((P59*$C$15+P61*(1-$C$15))*EXP(-$C$9*$C$13),$C$8-O59)</f>
        <v>12312.503343213048</v>
      </c>
      <c r="P60" s="15">
        <f>O61/$C$14</f>
        <v>24822.407498259796</v>
      </c>
      <c r="Q60" s="16">
        <f>MAX((R59*$C$15+R61*(1-$C$15))*EXP(-$C$9*$C$13),$C$8-Q59)</f>
        <v>12295.265542350617</v>
      </c>
      <c r="R60" s="15">
        <f>Q61/$C$14</f>
        <v>24822.407498259796</v>
      </c>
      <c r="S60" s="16">
        <f>MAX((T59*$C$15+T61*(1-$C$15))*EXP(-$C$9*$C$13),$C$8-S59)</f>
        <v>12279.001371803233</v>
      </c>
      <c r="T60" s="15">
        <f>S61/$C$14</f>
        <v>24822.407498259796</v>
      </c>
      <c r="U60" s="16">
        <f>MAX((V59*$C$15+V61*(1-$C$15))*EXP(-$C$9*$C$13),$C$8-U59)</f>
        <v>12263.707721275587</v>
      </c>
      <c r="V60" s="15">
        <f>U61/$C$14</f>
        <v>24822.407498259796</v>
      </c>
      <c r="W60" s="16">
        <f>MAX((X59*$C$15+X61*(1-$C$15))*EXP(-$C$9*$C$13),$C$8-W59)</f>
        <v>12249.454088891049</v>
      </c>
      <c r="X60" s="15">
        <f>W61/$C$14</f>
        <v>24822.407498259796</v>
      </c>
      <c r="Y60" s="16">
        <f>MAX((Z59*$C$15+Z61*(1-$C$15))*EXP(-$C$9*$C$13),$C$8-Y59)</f>
        <v>12236.476329714136</v>
      </c>
      <c r="Z60" s="15">
        <f>Y61/$C$14</f>
        <v>24822.407498259796</v>
      </c>
      <c r="AA60" s="16">
        <f>MAX((AB59*$C$15+AB61*(1-$C$15))*EXP(-$C$9*$C$13),$C$8-AA59)</f>
        <v>12225.052008940638</v>
      </c>
      <c r="AB60" s="15">
        <f>AA61/$C$14</f>
        <v>24822.407498259796</v>
      </c>
      <c r="AC60" s="16">
        <f>MAX((AD59*$C$15+AD61*(1-$C$15))*EXP(-$C$9*$C$13),$C$8-AC59)</f>
        <v>12214.870826172119</v>
      </c>
      <c r="AD60" s="15">
        <f>AC61/$C$14</f>
        <v>24822.407498259796</v>
      </c>
      <c r="AE60" s="16">
        <f>MAX((AF59*$C$15+AF61*(1-$C$15))*EXP(-$C$9*$C$13),$C$8-AE59)</f>
        <v>12206.220506250078</v>
      </c>
      <c r="AF60" s="15">
        <f>AE61/$C$14</f>
        <v>24822.407498259796</v>
      </c>
      <c r="AG60" s="16">
        <f>MAX((AH59*$C$15+AH61*(1-$C$15))*EXP(-$C$9*$C$13),$C$8-AG59)</f>
        <v>12199.734354707089</v>
      </c>
      <c r="AH60" s="15">
        <f>AG61/$C$14</f>
        <v>24822.407498259796</v>
      </c>
      <c r="AI60" s="16">
        <f>MAX((AJ59*$C$15+AJ61*(1-$C$15))*EXP(-$C$9*$C$13),$C$8-AI59)</f>
        <v>12194.703297927666</v>
      </c>
      <c r="AJ60" s="15">
        <f>AI61/$C$14</f>
        <v>24822.407498259796</v>
      </c>
      <c r="AK60" s="16">
        <f>MAX((AL59*$C$15+AL61*(1-$C$15))*EXP(-$C$9*$C$13),$C$8-AK59)</f>
        <v>12191.193608268286</v>
      </c>
      <c r="AL60" s="15">
        <f>AK61/$C$14</f>
        <v>24822.407498259796</v>
      </c>
      <c r="AM60" s="16">
        <f>MAX((AN59*$C$15+AN61*(1-$C$15))*EXP(-$C$9*$C$13),$C$8-AM59)</f>
        <v>12191.083011926483</v>
      </c>
      <c r="AN60" s="15">
        <f>AM61/$C$14</f>
        <v>24822.407498259796</v>
      </c>
      <c r="AO60" s="16">
        <f>MAX((AP59*$C$15+AP61*(1-$C$15))*EXP(-$C$9*$C$13),$C$8-AO59)</f>
        <v>12191.083011926483</v>
      </c>
      <c r="AP60" s="15">
        <f>AO61/$C$14</f>
        <v>24822.407498259796</v>
      </c>
      <c r="AQ60" s="16">
        <f>MAX((AR59*$C$15+AR61*(1-$C$15))*EXP(-$C$9*$C$13),$C$8-AQ59)</f>
        <v>12191.083011926483</v>
      </c>
      <c r="AR60" s="15">
        <f>AQ61/$C$14</f>
        <v>24822.407498259796</v>
      </c>
      <c r="AS60" s="16">
        <f>MAX((AT59*$C$15+AT61*(1-$C$15))*EXP(-$C$9*$C$13),$C$8-AS59)</f>
        <v>12191.083011926483</v>
      </c>
      <c r="AT60" s="15">
        <f>AS61/$C$14</f>
        <v>24822.407498259796</v>
      </c>
      <c r="AU60" s="16">
        <f>MAX((AV59*$C$15+AV61*(1-$C$15))*EXP(-$C$9*$C$13),$C$8-AU59)</f>
        <v>12191.083011926483</v>
      </c>
      <c r="AV60" s="15">
        <f>AU61/$C$14</f>
        <v>24822.407498259796</v>
      </c>
      <c r="AW60" s="16">
        <f>MAX((AX59*$C$15+AX61*(1-$C$15))*EXP(-$C$9*$C$13),$C$8-AW59)</f>
        <v>12191.083011926483</v>
      </c>
      <c r="AX60" s="15">
        <f>AW61/$C$14</f>
        <v>24822.407498259796</v>
      </c>
      <c r="AY60" s="16">
        <f>MAX((AZ59*$C$15+AZ61*(1-$C$15))*EXP(-$C$9*$C$13),$C$8-AY59)</f>
        <v>12191.083011926483</v>
      </c>
      <c r="AZ60" s="15">
        <f>AY61/$C$14</f>
        <v>24822.407498259796</v>
      </c>
      <c r="BA60" s="16">
        <f>MAX((BB59*$C$15+BB61*(1-$C$15))*EXP(-$C$9*$C$13),$C$8-BA59)</f>
        <v>12191.083011926483</v>
      </c>
      <c r="BB60" s="15">
        <f>BA61/$C$14</f>
        <v>24822.407498259796</v>
      </c>
      <c r="BD60" s="56">
        <f t="shared" si="14"/>
        <v>33904.000000000116</v>
      </c>
      <c r="BE60" s="57">
        <v>6025.6354541495275</v>
      </c>
      <c r="BF60" s="48">
        <v>5994.683878121431</v>
      </c>
      <c r="BG60" s="48">
        <v>5963.4280304840795</v>
      </c>
      <c r="BH60" s="48">
        <v>5931.8603683871697</v>
      </c>
      <c r="BI60" s="48">
        <v>5899.9730755140499</v>
      </c>
      <c r="BJ60" s="48">
        <v>5867.7580760258761</v>
      </c>
      <c r="BK60" s="48">
        <v>5835.2070449914181</v>
      </c>
      <c r="BL60" s="48">
        <v>5802.3114095214896</v>
      </c>
      <c r="BM60" s="48">
        <v>5769.0623340289922</v>
      </c>
      <c r="BN60" s="48">
        <v>5735.4506841417015</v>
      </c>
      <c r="BO60" s="48">
        <v>5701.4669681021242</v>
      </c>
      <c r="BP60" s="48">
        <v>5667.1012626432575</v>
      </c>
      <c r="BQ60" s="48">
        <v>5632.3431407425351</v>
      </c>
      <c r="BR60" s="48">
        <v>5597.1816257012097</v>
      </c>
      <c r="BS60" s="48">
        <v>5561.6051906362845</v>
      </c>
      <c r="BT60" s="48">
        <v>5525.6018005139813</v>
      </c>
      <c r="BU60" s="48">
        <v>5489.1589728285871</v>
      </c>
      <c r="BV60" s="48">
        <v>5452.2638469677231</v>
      </c>
      <c r="BW60" s="48">
        <v>5414.903245497695</v>
      </c>
      <c r="BX60" s="48">
        <v>5377.0637028858455</v>
      </c>
      <c r="BY60" s="48">
        <v>5338.7314357661226</v>
      </c>
      <c r="BZ60" s="48">
        <v>5299.892243359056</v>
      </c>
      <c r="CA60" s="48">
        <v>5260.531366226749</v>
      </c>
      <c r="CB60" s="48">
        <v>5220.6333906227774</v>
      </c>
      <c r="CC60" s="48">
        <v>5180.1823198020256</v>
      </c>
      <c r="CD60" s="48">
        <v>5139.1618596822645</v>
      </c>
      <c r="CE60" s="48">
        <v>5097.55579800126</v>
      </c>
      <c r="CF60" s="48">
        <v>5055.3484317373641</v>
      </c>
      <c r="CG60" s="48">
        <v>5012.5249527100377</v>
      </c>
      <c r="CH60" s="48">
        <v>4969.0716860684115</v>
      </c>
      <c r="CI60" s="48">
        <v>4924.976172214986</v>
      </c>
      <c r="CJ60" s="48">
        <v>4880.2273758858573</v>
      </c>
      <c r="CK60" s="48">
        <v>4834.816664449927</v>
      </c>
      <c r="CL60" s="48">
        <v>4788.7398719989023</v>
      </c>
      <c r="CM60" s="48">
        <v>4742.0000531541173</v>
      </c>
      <c r="CN60" s="48">
        <v>4694.610671937492</v>
      </c>
      <c r="CO60" s="48">
        <v>4646.5987645683581</v>
      </c>
      <c r="CP60" s="48">
        <v>4598.0082710931001</v>
      </c>
      <c r="CQ60" s="48">
        <v>4548.9066144198268</v>
      </c>
      <c r="CR60" s="48">
        <v>4499.3982926528488</v>
      </c>
      <c r="CS60" s="48">
        <v>4449.6441871569132</v>
      </c>
      <c r="CT60" s="48">
        <v>4399.8845623416164</v>
      </c>
      <c r="CU60" s="48">
        <v>4350.4615457418122</v>
      </c>
      <c r="CV60" s="48">
        <v>4301.8669554702537</v>
      </c>
      <c r="CW60" s="48">
        <v>4254.8281719642164</v>
      </c>
      <c r="CX60" s="48">
        <v>4210.4188750186222</v>
      </c>
      <c r="CY60" s="48">
        <v>4170.0933304487517</v>
      </c>
      <c r="CZ60" s="48">
        <v>4135.8718943400854</v>
      </c>
      <c r="DA60" s="48">
        <v>4110.153775485076</v>
      </c>
      <c r="DB60" s="48">
        <v>4096</v>
      </c>
      <c r="DC60" s="49">
        <f t="shared" si="15"/>
        <v>4096</v>
      </c>
      <c r="DD60" s="5">
        <f t="shared" si="10"/>
        <v>30</v>
      </c>
      <c r="DE60" s="30" cm="1">
        <f t="array" ref="DE60">1/2*(rf-q)*DD60*dt-1/2*(sigma^2)*(DD60^2)*dt</f>
        <v>-0.67951787671232855</v>
      </c>
      <c r="DF60" s="25">
        <f t="shared" si="11"/>
        <v>2.367291095890411</v>
      </c>
      <c r="DG60" s="6">
        <f t="shared" si="12"/>
        <v>-0.68750691780821904</v>
      </c>
      <c r="DH60" s="25">
        <f t="shared" si="13"/>
        <v>1990.6545191694531</v>
      </c>
      <c r="DI60">
        <v>6116.7356264644968</v>
      </c>
      <c r="DJ60" s="27">
        <f t="shared" si="16"/>
        <v>6116.7356264644968</v>
      </c>
    </row>
    <row r="61" spans="4:114" x14ac:dyDescent="0.25">
      <c r="L61" s="16">
        <f>MAX((M60*$C$15+M62*(1-$C$15))*EXP(-$C$9*$C$13),$C$8-L60)</f>
        <v>13260.625622424996</v>
      </c>
      <c r="M61" s="15">
        <f>L60*$C$14</f>
        <v>23873.605943805869</v>
      </c>
      <c r="N61" s="16">
        <f>MAX((O60*$C$15+O62*(1-$C$15))*EXP(-$C$9*$C$13),$C$8-N60)</f>
        <v>13247.879434431859</v>
      </c>
      <c r="O61" s="15">
        <f>N62/$C$14</f>
        <v>23873.605943805869</v>
      </c>
      <c r="P61" s="16">
        <f>MAX((Q60*$C$15+Q62*(1-$C$15))*EXP(-$C$9*$C$13),$C$8-P60)</f>
        <v>13235.882948146809</v>
      </c>
      <c r="Q61" s="15">
        <f>P62/$C$14</f>
        <v>23873.605943805869</v>
      </c>
      <c r="R61" s="16">
        <f>MAX((S60*$C$15+S62*(1-$C$15))*EXP(-$C$9*$C$13),$C$8-R60)</f>
        <v>13224.795177862565</v>
      </c>
      <c r="S61" s="15">
        <f>R62/$C$14</f>
        <v>23873.605943805869</v>
      </c>
      <c r="T61" s="16">
        <f>MAX((U60*$C$15+U62*(1-$C$15))*EXP(-$C$9*$C$13),$C$8-T60)</f>
        <v>13214.809060759308</v>
      </c>
      <c r="U61" s="15">
        <f>T62/$C$14</f>
        <v>23873.605943805869</v>
      </c>
      <c r="V61" s="16">
        <f>MAX((W60*$C$15+W62*(1-$C$15))*EXP(-$C$9*$C$13),$C$8-V60)</f>
        <v>13205.805294297434</v>
      </c>
      <c r="W61" s="15">
        <f>V62/$C$14</f>
        <v>23873.605943805869</v>
      </c>
      <c r="X61" s="16">
        <f>MAX((Y60*$C$15+Y62*(1-$C$15))*EXP(-$C$9*$C$13),$C$8-X60)</f>
        <v>13197.727243812065</v>
      </c>
      <c r="Y61" s="15">
        <f>X62/$C$14</f>
        <v>23873.605943805869</v>
      </c>
      <c r="Z61" s="16">
        <f>MAX((AA60*$C$15+AA62*(1-$C$15))*EXP(-$C$9*$C$13),$C$8-Z60)</f>
        <v>13190.851792331161</v>
      </c>
      <c r="AA61" s="15">
        <f>Z62/$C$14</f>
        <v>23873.605943805869</v>
      </c>
      <c r="AB61" s="16">
        <f>MAX((AC60*$C$15+AC62*(1-$C$15))*EXP(-$C$9*$C$13),$C$8-AB60)</f>
        <v>13185.742816958826</v>
      </c>
      <c r="AC61" s="15">
        <f>AB62/$C$14</f>
        <v>23873.605943805869</v>
      </c>
      <c r="AD61" s="16">
        <f>MAX((AE60*$C$15+AE62*(1-$C$15))*EXP(-$C$9*$C$13),$C$8-AD60)</f>
        <v>13181.503058366972</v>
      </c>
      <c r="AE61" s="15">
        <f>AD62/$C$14</f>
        <v>23873.605943805869</v>
      </c>
      <c r="AF61" s="16">
        <f>MAX((AG60*$C$15+AG62*(1-$C$15))*EXP(-$C$9*$C$13),$C$8-AF60)</f>
        <v>13178.324017940693</v>
      </c>
      <c r="AG61" s="15">
        <f>AF62/$C$14</f>
        <v>23873.605943805869</v>
      </c>
      <c r="AH61" s="16">
        <f>MAX((AI60*$C$15+AI62*(1-$C$15))*EXP(-$C$9*$C$13),$C$8-AH60)</f>
        <v>13177.592501740204</v>
      </c>
      <c r="AI61" s="15">
        <f>AH62/$C$14</f>
        <v>23873.605943805869</v>
      </c>
      <c r="AJ61" s="16">
        <f>MAX((AK60*$C$15+AK62*(1-$C$15))*EXP(-$C$9*$C$13),$C$8-AJ60)</f>
        <v>13177.592501740204</v>
      </c>
      <c r="AK61" s="15">
        <f>AJ62/$C$14</f>
        <v>23873.605943805869</v>
      </c>
      <c r="AL61" s="16">
        <f>MAX((AM60*$C$15+AM62*(1-$C$15))*EXP(-$C$9*$C$13),$C$8-AL60)</f>
        <v>13177.592501740204</v>
      </c>
      <c r="AM61" s="15">
        <f>AL62/$C$14</f>
        <v>23873.605943805869</v>
      </c>
      <c r="AN61" s="16">
        <f>MAX((AO60*$C$15+AO62*(1-$C$15))*EXP(-$C$9*$C$13),$C$8-AN60)</f>
        <v>13177.592501740204</v>
      </c>
      <c r="AO61" s="15">
        <f>AN62/$C$14</f>
        <v>23873.605943805869</v>
      </c>
      <c r="AP61" s="16">
        <f>MAX((AQ60*$C$15+AQ62*(1-$C$15))*EXP(-$C$9*$C$13),$C$8-AP60)</f>
        <v>13177.592501740204</v>
      </c>
      <c r="AQ61" s="15">
        <f>AP62/$C$14</f>
        <v>23873.605943805869</v>
      </c>
      <c r="AR61" s="16">
        <f>MAX((AS60*$C$15+AS62*(1-$C$15))*EXP(-$C$9*$C$13),$C$8-AR60)</f>
        <v>13177.592501740204</v>
      </c>
      <c r="AS61" s="15">
        <f>AR62/$C$14</f>
        <v>23873.605943805869</v>
      </c>
      <c r="AT61" s="16">
        <f>MAX((AU60*$C$15+AU62*(1-$C$15))*EXP(-$C$9*$C$13),$C$8-AT60)</f>
        <v>13177.592501740204</v>
      </c>
      <c r="AU61" s="15">
        <f>AT62/$C$14</f>
        <v>23873.605943805869</v>
      </c>
      <c r="AV61" s="16">
        <f>MAX((AW60*$C$15+AW62*(1-$C$15))*EXP(-$C$9*$C$13),$C$8-AV60)</f>
        <v>13177.592501740204</v>
      </c>
      <c r="AW61" s="15">
        <f>AV62/$C$14</f>
        <v>23873.605943805869</v>
      </c>
      <c r="AX61" s="16">
        <f>MAX((AY60*$C$15+AY62*(1-$C$15))*EXP(-$C$9*$C$13),$C$8-AX60)</f>
        <v>13177.592501740204</v>
      </c>
      <c r="AY61" s="15">
        <f>AX62/$C$14</f>
        <v>23873.605943805869</v>
      </c>
      <c r="AZ61" s="16">
        <f>MAX((BA60*$C$15+BA62*(1-$C$15))*EXP(-$C$9*$C$13),$C$8-AZ60)</f>
        <v>13177.592501740204</v>
      </c>
      <c r="BA61" s="15">
        <f>AZ62/$C$14</f>
        <v>23873.605943805869</v>
      </c>
      <c r="BB61" s="16">
        <f>MAX(0,$C$8-BB60)</f>
        <v>13177.592501740204</v>
      </c>
      <c r="BD61" s="55">
        <f t="shared" si="14"/>
        <v>32773.866666666785</v>
      </c>
      <c r="BE61" s="48">
        <v>6734.3160478431446</v>
      </c>
      <c r="BF61" s="48">
        <v>6706.1656299467058</v>
      </c>
      <c r="BG61" s="48">
        <v>6677.7793470790912</v>
      </c>
      <c r="BH61" s="48">
        <v>6649.1527409013897</v>
      </c>
      <c r="BI61" s="48">
        <v>6620.2812436598424</v>
      </c>
      <c r="BJ61" s="48">
        <v>6591.1602321399223</v>
      </c>
      <c r="BK61" s="48">
        <v>6561.7850911069627</v>
      </c>
      <c r="BL61" s="48">
        <v>6532.1512786292324</v>
      </c>
      <c r="BM61" s="48">
        <v>6502.2543804479928</v>
      </c>
      <c r="BN61" s="48">
        <v>6472.0901361010392</v>
      </c>
      <c r="BO61" s="48">
        <v>6441.6544193761738</v>
      </c>
      <c r="BP61" s="48">
        <v>6410.9431651431987</v>
      </c>
      <c r="BQ61" s="48">
        <v>6379.9522581582114</v>
      </c>
      <c r="BR61" s="48">
        <v>6348.677433231288</v>
      </c>
      <c r="BS61" s="48">
        <v>6317.1142564681422</v>
      </c>
      <c r="BT61" s="48">
        <v>6285.2582213136693</v>
      </c>
      <c r="BU61" s="48">
        <v>6253.1049042103114</v>
      </c>
      <c r="BV61" s="48">
        <v>6220.6501791963874</v>
      </c>
      <c r="BW61" s="48">
        <v>6187.8904799341117</v>
      </c>
      <c r="BX61" s="48">
        <v>6154.8230720402089</v>
      </c>
      <c r="BY61" s="48">
        <v>6121.4462663011445</v>
      </c>
      <c r="BZ61" s="48">
        <v>6087.7594828095516</v>
      </c>
      <c r="CA61" s="48">
        <v>6053.7631097215053</v>
      </c>
      <c r="CB61" s="48">
        <v>6019.4582446623335</v>
      </c>
      <c r="CC61" s="48">
        <v>5984.8466470281119</v>
      </c>
      <c r="CD61" s="48">
        <v>5949.9312646234766</v>
      </c>
      <c r="CE61" s="48">
        <v>5914.7170431281365</v>
      </c>
      <c r="CF61" s="48">
        <v>5879.2120304356204</v>
      </c>
      <c r="CG61" s="48">
        <v>5843.4286538318638</v>
      </c>
      <c r="CH61" s="48">
        <v>5807.3848248301747</v>
      </c>
      <c r="CI61" s="48">
        <v>5771.104357357488</v>
      </c>
      <c r="CJ61" s="48">
        <v>5734.6165868187336</v>
      </c>
      <c r="CK61" s="48">
        <v>5697.9567932613627</v>
      </c>
      <c r="CL61" s="48">
        <v>5661.1691442939627</v>
      </c>
      <c r="CM61" s="48">
        <v>5624.3113584161119</v>
      </c>
      <c r="CN61" s="48">
        <v>5587.4609601830371</v>
      </c>
      <c r="CO61" s="48">
        <v>5550.7211448693442</v>
      </c>
      <c r="CP61" s="48">
        <v>5514.2217899874859</v>
      </c>
      <c r="CQ61" s="48">
        <v>5478.1194520153667</v>
      </c>
      <c r="CR61" s="48">
        <v>5442.6103246328676</v>
      </c>
      <c r="CS61" s="48">
        <v>5407.9545175124085</v>
      </c>
      <c r="CT61" s="48">
        <v>5374.5091516322364</v>
      </c>
      <c r="CU61" s="48">
        <v>5342.7120707428312</v>
      </c>
      <c r="CV61" s="48">
        <v>5313.0723058344793</v>
      </c>
      <c r="CW61" s="48">
        <v>5286.2156182400622</v>
      </c>
      <c r="CX61" s="48">
        <v>5263.0657881063989</v>
      </c>
      <c r="CY61" s="48">
        <v>5244.4261871441659</v>
      </c>
      <c r="CZ61" s="48">
        <v>5231.3882348093794</v>
      </c>
      <c r="DA61" s="48">
        <v>5226.1333333333314</v>
      </c>
      <c r="DB61" s="48">
        <v>5226.1333333333314</v>
      </c>
      <c r="DC61" s="49">
        <f t="shared" si="15"/>
        <v>5226.1333333333314</v>
      </c>
      <c r="DD61" s="5">
        <f t="shared" si="10"/>
        <v>29</v>
      </c>
      <c r="DE61" s="30" cm="1">
        <f t="array" ref="DE61">1/2*(rf-q)*DD61*dt-1/2*(sigma^2)*(DD61^2)*dt</f>
        <v>-0.63484299246575338</v>
      </c>
      <c r="DF61" s="25">
        <f t="shared" si="11"/>
        <v>2.2776750260273975</v>
      </c>
      <c r="DG61" s="6">
        <f t="shared" si="12"/>
        <v>-0.64256573219178081</v>
      </c>
      <c r="DH61" s="25">
        <f t="shared" si="13"/>
        <v>1563.79300766085</v>
      </c>
      <c r="DI61">
        <v>6817.3942849218693</v>
      </c>
      <c r="DJ61" s="27">
        <f t="shared" si="16"/>
        <v>6817.3942849218693</v>
      </c>
    </row>
    <row r="62" spans="4:114" x14ac:dyDescent="0.25">
      <c r="M62" s="16">
        <f>MAX((N61*$C$15+N63*(1-$C$15))*EXP(-$C$9*$C$13),$C$8-M61)</f>
        <v>14162.042685459586</v>
      </c>
      <c r="N62" s="15">
        <f>M61*$C$14</f>
        <v>22961.070992009129</v>
      </c>
      <c r="O62" s="16">
        <f>MAX((P61*$C$15+P63*(1-$C$15))*EXP(-$C$9*$C$13),$C$8-O61)</f>
        <v>14154.424020817336</v>
      </c>
      <c r="P62" s="15">
        <f>O63/$C$14</f>
        <v>22961.070992009129</v>
      </c>
      <c r="Q62" s="16">
        <f>MAX((R61*$C$15+R63*(1-$C$15))*EXP(-$C$9*$C$13),$C$8-Q61)</f>
        <v>14147.462239160552</v>
      </c>
      <c r="R62" s="15">
        <f>Q63/$C$14</f>
        <v>22961.070992009129</v>
      </c>
      <c r="S62" s="16">
        <f>MAX((T61*$C$15+T63*(1-$C$15))*EXP(-$C$9*$C$13),$C$8-S61)</f>
        <v>14141.347215246569</v>
      </c>
      <c r="T62" s="15">
        <f>S63/$C$14</f>
        <v>22961.070992009129</v>
      </c>
      <c r="U62" s="16">
        <f>MAX((V61*$C$15+V63*(1-$C$15))*EXP(-$C$9*$C$13),$C$8-U61)</f>
        <v>14136.460540900911</v>
      </c>
      <c r="V62" s="15">
        <f>U63/$C$14</f>
        <v>22961.070992009129</v>
      </c>
      <c r="W62" s="16">
        <f>MAX((X61*$C$15+X63*(1-$C$15))*EXP(-$C$9*$C$13),$C$8-W61)</f>
        <v>14132.501267225553</v>
      </c>
      <c r="X62" s="15">
        <f>W63/$C$14</f>
        <v>22961.070992009129</v>
      </c>
      <c r="Y62" s="16">
        <f>MAX((Z61*$C$15+Z63*(1-$C$15))*EXP(-$C$9*$C$13),$C$8-Y61)</f>
        <v>14129.131420242817</v>
      </c>
      <c r="Z62" s="15">
        <f>Y63/$C$14</f>
        <v>22961.070992009129</v>
      </c>
      <c r="AA62" s="16">
        <f>MAX((AB61*$C$15+AB63*(1-$C$15))*EXP(-$C$9*$C$13),$C$8-AA61)</f>
        <v>14126.627371557261</v>
      </c>
      <c r="AB62" s="15">
        <f>AA63/$C$14</f>
        <v>22961.070992009129</v>
      </c>
      <c r="AC62" s="16">
        <f>MAX((AD61*$C$15+AD63*(1-$C$15))*EXP(-$C$9*$C$13),$C$8-AC61)</f>
        <v>14126.394056194131</v>
      </c>
      <c r="AD62" s="15">
        <f>AC63/$C$14</f>
        <v>22961.070992009129</v>
      </c>
      <c r="AE62" s="16">
        <f>MAX((AF61*$C$15+AF63*(1-$C$15))*EXP(-$C$9*$C$13),$C$8-AE61)</f>
        <v>14126.394056194131</v>
      </c>
      <c r="AF62" s="15">
        <f>AE63/$C$14</f>
        <v>22961.070992009129</v>
      </c>
      <c r="AG62" s="16">
        <f>MAX((AH61*$C$15+AH63*(1-$C$15))*EXP(-$C$9*$C$13),$C$8-AG61)</f>
        <v>14126.394056194131</v>
      </c>
      <c r="AH62" s="15">
        <f>AG63/$C$14</f>
        <v>22961.070992009129</v>
      </c>
      <c r="AI62" s="16">
        <f>MAX((AJ61*$C$15+AJ63*(1-$C$15))*EXP(-$C$9*$C$13),$C$8-AI61)</f>
        <v>14126.394056194131</v>
      </c>
      <c r="AJ62" s="15">
        <f>AI63/$C$14</f>
        <v>22961.070992009129</v>
      </c>
      <c r="AK62" s="16">
        <f>MAX((AL61*$C$15+AL63*(1-$C$15))*EXP(-$C$9*$C$13),$C$8-AK61)</f>
        <v>14126.394056194131</v>
      </c>
      <c r="AL62" s="15">
        <f>AK63/$C$14</f>
        <v>22961.070992009129</v>
      </c>
      <c r="AM62" s="16">
        <f>MAX((AN61*$C$15+AN63*(1-$C$15))*EXP(-$C$9*$C$13),$C$8-AM61)</f>
        <v>14126.394056194131</v>
      </c>
      <c r="AN62" s="15">
        <f>AM63/$C$14</f>
        <v>22961.070992009129</v>
      </c>
      <c r="AO62" s="16">
        <f>MAX((AP61*$C$15+AP63*(1-$C$15))*EXP(-$C$9*$C$13),$C$8-AO61)</f>
        <v>14126.394056194131</v>
      </c>
      <c r="AP62" s="15">
        <f>AO63/$C$14</f>
        <v>22961.070992009129</v>
      </c>
      <c r="AQ62" s="16">
        <f>MAX((AR61*$C$15+AR63*(1-$C$15))*EXP(-$C$9*$C$13),$C$8-AQ61)</f>
        <v>14126.394056194131</v>
      </c>
      <c r="AR62" s="15">
        <f>AQ63/$C$14</f>
        <v>22961.070992009129</v>
      </c>
      <c r="AS62" s="16">
        <f>MAX((AT61*$C$15+AT63*(1-$C$15))*EXP(-$C$9*$C$13),$C$8-AS61)</f>
        <v>14126.394056194131</v>
      </c>
      <c r="AT62" s="15">
        <f>AS63/$C$14</f>
        <v>22961.070992009129</v>
      </c>
      <c r="AU62" s="16">
        <f>MAX((AV61*$C$15+AV63*(1-$C$15))*EXP(-$C$9*$C$13),$C$8-AU61)</f>
        <v>14126.394056194131</v>
      </c>
      <c r="AV62" s="15">
        <f>AU63/$C$14</f>
        <v>22961.070992009129</v>
      </c>
      <c r="AW62" s="16">
        <f>MAX((AX61*$C$15+AX63*(1-$C$15))*EXP(-$C$9*$C$13),$C$8-AW61)</f>
        <v>14126.394056194131</v>
      </c>
      <c r="AX62" s="15">
        <f>AW63/$C$14</f>
        <v>22961.070992009129</v>
      </c>
      <c r="AY62" s="16">
        <f>MAX((AZ61*$C$15+AZ63*(1-$C$15))*EXP(-$C$9*$C$13),$C$8-AY61)</f>
        <v>14126.394056194131</v>
      </c>
      <c r="AZ62" s="15">
        <f>AY63/$C$14</f>
        <v>22961.070992009129</v>
      </c>
      <c r="BA62" s="16">
        <f>MAX((BB61*$C$15+BB63*(1-$C$15))*EXP(-$C$9*$C$13),$C$8-BA61)</f>
        <v>14126.394056194131</v>
      </c>
      <c r="BB62" s="15">
        <f>BA63/$C$14</f>
        <v>22961.070992009129</v>
      </c>
      <c r="BD62" s="55">
        <f t="shared" si="14"/>
        <v>31643.73333333345</v>
      </c>
      <c r="BE62" s="48">
        <v>7498.7848154340463</v>
      </c>
      <c r="BF62" s="48">
        <v>7473.8293555449281</v>
      </c>
      <c r="BG62" s="48">
        <v>7448.7141932788581</v>
      </c>
      <c r="BH62" s="48">
        <v>7423.4381628100882</v>
      </c>
      <c r="BI62" s="48">
        <v>7398.0000699112061</v>
      </c>
      <c r="BJ62" s="48">
        <v>7372.3987714833438</v>
      </c>
      <c r="BK62" s="48">
        <v>7346.6332897139091</v>
      </c>
      <c r="BL62" s="48">
        <v>7320.7029596496359</v>
      </c>
      <c r="BM62" s="48">
        <v>7294.607598033891</v>
      </c>
      <c r="BN62" s="48">
        <v>7268.3476643478716</v>
      </c>
      <c r="BO62" s="48">
        <v>7241.9243652487012</v>
      </c>
      <c r="BP62" s="48">
        <v>7215.3396422395799</v>
      </c>
      <c r="BQ62" s="48">
        <v>7188.5960031044342</v>
      </c>
      <c r="BR62" s="48">
        <v>7161.6962397590596</v>
      </c>
      <c r="BS62" s="48">
        <v>7134.6432101775699</v>
      </c>
      <c r="BT62" s="48">
        <v>7107.4398952384799</v>
      </c>
      <c r="BU62" s="48">
        <v>7080.0895577414922</v>
      </c>
      <c r="BV62" s="48">
        <v>7052.596029384742</v>
      </c>
      <c r="BW62" s="48">
        <v>7024.964159858835</v>
      </c>
      <c r="BX62" s="48">
        <v>6997.2004289815341</v>
      </c>
      <c r="BY62" s="48">
        <v>6969.3136407353022</v>
      </c>
      <c r="BZ62" s="48">
        <v>6941.3154766504431</v>
      </c>
      <c r="CA62" s="48">
        <v>6913.2205393566082</v>
      </c>
      <c r="CB62" s="48">
        <v>6885.0455967524513</v>
      </c>
      <c r="CC62" s="48">
        <v>6856.8085091408393</v>
      </c>
      <c r="CD62" s="48">
        <v>6828.5285544854787</v>
      </c>
      <c r="CE62" s="48">
        <v>6800.2272092804615</v>
      </c>
      <c r="CF62" s="48">
        <v>6771.9296662489842</v>
      </c>
      <c r="CG62" s="48">
        <v>6743.6672859559303</v>
      </c>
      <c r="CH62" s="48">
        <v>6715.4806605957447</v>
      </c>
      <c r="CI62" s="48">
        <v>6687.4216314779969</v>
      </c>
      <c r="CJ62" s="48">
        <v>6659.5510441261113</v>
      </c>
      <c r="CK62" s="48">
        <v>6631.9346406335189</v>
      </c>
      <c r="CL62" s="48">
        <v>6604.6441833570871</v>
      </c>
      <c r="CM62" s="48">
        <v>6577.761545508657</v>
      </c>
      <c r="CN62" s="48">
        <v>6551.3886876523266</v>
      </c>
      <c r="CO62" s="48">
        <v>6525.6639042015313</v>
      </c>
      <c r="CP62" s="48">
        <v>6500.7620855179593</v>
      </c>
      <c r="CQ62" s="48">
        <v>6476.8676353850151</v>
      </c>
      <c r="CR62" s="48">
        <v>6454.1689608151901</v>
      </c>
      <c r="CS62" s="48">
        <v>6432.8739044975655</v>
      </c>
      <c r="CT62" s="48">
        <v>6413.3308614043635</v>
      </c>
      <c r="CU62" s="48">
        <v>6395.9626059202419</v>
      </c>
      <c r="CV62" s="48">
        <v>6381.1119320557573</v>
      </c>
      <c r="CW62" s="48">
        <v>6368.8325713169261</v>
      </c>
      <c r="CX62" s="48">
        <v>6360.0866346870498</v>
      </c>
      <c r="CY62" s="48">
        <v>6356.2666666666628</v>
      </c>
      <c r="CZ62" s="48">
        <v>6356.2666666666628</v>
      </c>
      <c r="DA62" s="48">
        <v>6356.2666666666628</v>
      </c>
      <c r="DB62" s="48">
        <v>6356.2666666666628</v>
      </c>
      <c r="DC62" s="49">
        <f t="shared" si="15"/>
        <v>6356.2666666666628</v>
      </c>
      <c r="DD62" s="5">
        <f t="shared" si="10"/>
        <v>28</v>
      </c>
      <c r="DE62" s="30" cm="1">
        <f t="array" ref="DE62">1/2*(rf-q)*DD62*dt-1/2*(sigma^2)*(DD62^2)*dt</f>
        <v>-0.59168702465753409</v>
      </c>
      <c r="DF62" s="25">
        <f t="shared" si="11"/>
        <v>2.1910967890410955</v>
      </c>
      <c r="DG62" s="6">
        <f t="shared" si="12"/>
        <v>-0.59914346301369847</v>
      </c>
      <c r="DH62" s="25">
        <f t="shared" si="13"/>
        <v>1191.954210160291</v>
      </c>
      <c r="DI62">
        <v>7572.703353374256</v>
      </c>
      <c r="DJ62" s="27">
        <f t="shared" si="16"/>
        <v>7572.703353374256</v>
      </c>
    </row>
    <row r="63" spans="4:114" x14ac:dyDescent="0.25">
      <c r="N63" s="16">
        <f>MAX((O62*$C$15+O64*(1-$C$15))*EXP(-$C$9*$C$13),$C$8-N62)</f>
        <v>15048.662906768637</v>
      </c>
      <c r="O63" s="15">
        <f>N62*$C$14</f>
        <v>22083.416403078842</v>
      </c>
      <c r="P63" s="16">
        <f>MAX((Q62*$C$15+Q64*(1-$C$15))*EXP(-$C$9*$C$13),$C$8-P62)</f>
        <v>15045.250747003456</v>
      </c>
      <c r="Q63" s="15">
        <f>P64/$C$14</f>
        <v>22083.416403078842</v>
      </c>
      <c r="R63" s="16">
        <f>MAX((S62*$C$15+S64*(1-$C$15))*EXP(-$C$9*$C$13),$C$8-R62)</f>
        <v>15042.253606387576</v>
      </c>
      <c r="S63" s="15">
        <f>R64/$C$14</f>
        <v>22083.416403078842</v>
      </c>
      <c r="T63" s="16">
        <f>MAX((U62*$C$15+U64*(1-$C$15))*EXP(-$C$9*$C$13),$C$8-T62)</f>
        <v>15039.858513520572</v>
      </c>
      <c r="U63" s="15">
        <f>T64/$C$14</f>
        <v>22083.416403078842</v>
      </c>
      <c r="V63" s="16">
        <f>MAX((W62*$C$15+W64*(1-$C$15))*EXP(-$C$9*$C$13),$C$8-V62)</f>
        <v>15038.929007990871</v>
      </c>
      <c r="W63" s="15">
        <f>V64/$C$14</f>
        <v>22083.416403078842</v>
      </c>
      <c r="X63" s="16">
        <f>MAX((Y62*$C$15+Y64*(1-$C$15))*EXP(-$C$9*$C$13),$C$8-X62)</f>
        <v>15038.929007990871</v>
      </c>
      <c r="Y63" s="15">
        <f>X64/$C$14</f>
        <v>22083.416403078842</v>
      </c>
      <c r="Z63" s="16">
        <f>MAX((AA62*$C$15+AA64*(1-$C$15))*EXP(-$C$9*$C$13),$C$8-Z62)</f>
        <v>15038.929007990871</v>
      </c>
      <c r="AA63" s="15">
        <f>Z64/$C$14</f>
        <v>22083.416403078842</v>
      </c>
      <c r="AB63" s="16">
        <f>MAX((AC62*$C$15+AC64*(1-$C$15))*EXP(-$C$9*$C$13),$C$8-AB62)</f>
        <v>15038.929007990871</v>
      </c>
      <c r="AC63" s="15">
        <f>AB64/$C$14</f>
        <v>22083.416403078842</v>
      </c>
      <c r="AD63" s="16">
        <f>MAX((AE62*$C$15+AE64*(1-$C$15))*EXP(-$C$9*$C$13),$C$8-AD62)</f>
        <v>15038.929007990871</v>
      </c>
      <c r="AE63" s="15">
        <f>AD64/$C$14</f>
        <v>22083.416403078842</v>
      </c>
      <c r="AF63" s="16">
        <f>MAX((AG62*$C$15+AG64*(1-$C$15))*EXP(-$C$9*$C$13),$C$8-AF62)</f>
        <v>15038.929007990871</v>
      </c>
      <c r="AG63" s="15">
        <f>AF64/$C$14</f>
        <v>22083.416403078842</v>
      </c>
      <c r="AH63" s="16">
        <f>MAX((AI62*$C$15+AI64*(1-$C$15))*EXP(-$C$9*$C$13),$C$8-AH62)</f>
        <v>15038.929007990871</v>
      </c>
      <c r="AI63" s="15">
        <f>AH64/$C$14</f>
        <v>22083.416403078842</v>
      </c>
      <c r="AJ63" s="16">
        <f>MAX((AK62*$C$15+AK64*(1-$C$15))*EXP(-$C$9*$C$13),$C$8-AJ62)</f>
        <v>15038.929007990871</v>
      </c>
      <c r="AK63" s="15">
        <f>AJ64/$C$14</f>
        <v>22083.416403078842</v>
      </c>
      <c r="AL63" s="16">
        <f>MAX((AM62*$C$15+AM64*(1-$C$15))*EXP(-$C$9*$C$13),$C$8-AL62)</f>
        <v>15038.929007990871</v>
      </c>
      <c r="AM63" s="15">
        <f>AL64/$C$14</f>
        <v>22083.416403078842</v>
      </c>
      <c r="AN63" s="16">
        <f>MAX((AO62*$C$15+AO64*(1-$C$15))*EXP(-$C$9*$C$13),$C$8-AN62)</f>
        <v>15038.929007990871</v>
      </c>
      <c r="AO63" s="15">
        <f>AN64/$C$14</f>
        <v>22083.416403078842</v>
      </c>
      <c r="AP63" s="16">
        <f>MAX((AQ62*$C$15+AQ64*(1-$C$15))*EXP(-$C$9*$C$13),$C$8-AP62)</f>
        <v>15038.929007990871</v>
      </c>
      <c r="AQ63" s="15">
        <f>AP64/$C$14</f>
        <v>22083.416403078842</v>
      </c>
      <c r="AR63" s="16">
        <f>MAX((AS62*$C$15+AS64*(1-$C$15))*EXP(-$C$9*$C$13),$C$8-AR62)</f>
        <v>15038.929007990871</v>
      </c>
      <c r="AS63" s="15">
        <f>AR64/$C$14</f>
        <v>22083.416403078842</v>
      </c>
      <c r="AT63" s="16">
        <f>MAX((AU62*$C$15+AU64*(1-$C$15))*EXP(-$C$9*$C$13),$C$8-AT62)</f>
        <v>15038.929007990871</v>
      </c>
      <c r="AU63" s="15">
        <f>AT64/$C$14</f>
        <v>22083.416403078842</v>
      </c>
      <c r="AV63" s="16">
        <f>MAX((AW62*$C$15+AW64*(1-$C$15))*EXP(-$C$9*$C$13),$C$8-AV62)</f>
        <v>15038.929007990871</v>
      </c>
      <c r="AW63" s="15">
        <f>AV64/$C$14</f>
        <v>22083.416403078842</v>
      </c>
      <c r="AX63" s="16">
        <f>MAX((AY62*$C$15+AY64*(1-$C$15))*EXP(-$C$9*$C$13),$C$8-AX62)</f>
        <v>15038.929007990871</v>
      </c>
      <c r="AY63" s="15">
        <f>AX64/$C$14</f>
        <v>22083.416403078842</v>
      </c>
      <c r="AZ63" s="16">
        <f>MAX((BA62*$C$15+BA64*(1-$C$15))*EXP(-$C$9*$C$13),$C$8-AZ62)</f>
        <v>15038.929007990871</v>
      </c>
      <c r="BA63" s="15">
        <f>AZ64/$C$14</f>
        <v>22083.416403078842</v>
      </c>
      <c r="BB63" s="16">
        <f>MAX(0,$C$8-BB62)</f>
        <v>15038.929007990871</v>
      </c>
      <c r="BD63" s="55">
        <f t="shared" si="14"/>
        <v>30513.600000000115</v>
      </c>
      <c r="BE63" s="48">
        <v>8318.4391954189105</v>
      </c>
      <c r="BF63" s="48">
        <v>8296.9776348757805</v>
      </c>
      <c r="BG63" s="48">
        <v>8275.4353928152032</v>
      </c>
      <c r="BH63" s="48">
        <v>8253.814684893272</v>
      </c>
      <c r="BI63" s="48">
        <v>8232.1176459731578</v>
      </c>
      <c r="BJ63" s="48">
        <v>8210.3463770661092</v>
      </c>
      <c r="BK63" s="48">
        <v>8188.5030544221445</v>
      </c>
      <c r="BL63" s="48">
        <v>8166.5901245177547</v>
      </c>
      <c r="BM63" s="48">
        <v>8144.6106020549096</v>
      </c>
      <c r="BN63" s="48">
        <v>8122.5684633566143</v>
      </c>
      <c r="BO63" s="48">
        <v>8100.4690737465799</v>
      </c>
      <c r="BP63" s="48">
        <v>8078.3195008695393</v>
      </c>
      <c r="BQ63" s="48">
        <v>8056.128479922947</v>
      </c>
      <c r="BR63" s="48">
        <v>8033.9058384744858</v>
      </c>
      <c r="BS63" s="48">
        <v>8011.6616118264801</v>
      </c>
      <c r="BT63" s="48">
        <v>7989.4058875191595</v>
      </c>
      <c r="BU63" s="48">
        <v>7967.1487515560466</v>
      </c>
      <c r="BV63" s="48">
        <v>7944.9003748105933</v>
      </c>
      <c r="BW63" s="48">
        <v>7922.6713761935398</v>
      </c>
      <c r="BX63" s="48">
        <v>7900.4736407268947</v>
      </c>
      <c r="BY63" s="48">
        <v>7878.3217384929776</v>
      </c>
      <c r="BZ63" s="48">
        <v>7856.2348353364232</v>
      </c>
      <c r="CA63" s="48">
        <v>7834.2382745797586</v>
      </c>
      <c r="CB63" s="48">
        <v>7812.3628531650393</v>
      </c>
      <c r="CC63" s="48">
        <v>7790.6403472798447</v>
      </c>
      <c r="CD63" s="48">
        <v>7769.102863817885</v>
      </c>
      <c r="CE63" s="48">
        <v>7747.782347340386</v>
      </c>
      <c r="CF63" s="48">
        <v>7726.7109386353277</v>
      </c>
      <c r="CG63" s="48">
        <v>7705.9235820408467</v>
      </c>
      <c r="CH63" s="48">
        <v>7685.4648425889782</v>
      </c>
      <c r="CI63" s="48">
        <v>7665.3997476392324</v>
      </c>
      <c r="CJ63" s="48">
        <v>7645.8128017005665</v>
      </c>
      <c r="CK63" s="48">
        <v>7626.7904476406075</v>
      </c>
      <c r="CL63" s="48">
        <v>7608.415334430606</v>
      </c>
      <c r="CM63" s="48">
        <v>7590.7598819547056</v>
      </c>
      <c r="CN63" s="48">
        <v>7573.8894334079823</v>
      </c>
      <c r="CO63" s="48">
        <v>7557.9160367255172</v>
      </c>
      <c r="CP63" s="48">
        <v>7543.0441626138227</v>
      </c>
      <c r="CQ63" s="48">
        <v>7529.4797303001114</v>
      </c>
      <c r="CR63" s="48">
        <v>7517.3704988979007</v>
      </c>
      <c r="CS63" s="48">
        <v>7506.6339340074028</v>
      </c>
      <c r="CT63" s="48">
        <v>7497.4840440745993</v>
      </c>
      <c r="CU63" s="48">
        <v>7490.4637079389313</v>
      </c>
      <c r="CV63" s="48">
        <v>7486.3999999999978</v>
      </c>
      <c r="CW63" s="48">
        <v>7486.3999999999978</v>
      </c>
      <c r="CX63" s="48">
        <v>7486.3999999999978</v>
      </c>
      <c r="CY63" s="48">
        <v>7486.3999999999978</v>
      </c>
      <c r="CZ63" s="48">
        <v>7486.3999999999978</v>
      </c>
      <c r="DA63" s="48">
        <v>7486.3999999999978</v>
      </c>
      <c r="DB63" s="48">
        <v>7486.3999999999978</v>
      </c>
      <c r="DC63" s="49">
        <f t="shared" si="15"/>
        <v>7486.3999999999978</v>
      </c>
      <c r="DD63" s="5">
        <f t="shared" si="10"/>
        <v>27</v>
      </c>
      <c r="DE63" s="30" cm="1">
        <f t="array" ref="DE63">1/2*(rf-q)*DD63*dt-1/2*(sigma^2)*(DD63^2)*dt</f>
        <v>-0.55004997328767113</v>
      </c>
      <c r="DF63" s="25">
        <f t="shared" si="11"/>
        <v>2.1075563849315069</v>
      </c>
      <c r="DG63" s="6">
        <f t="shared" si="12"/>
        <v>-0.55724011027397247</v>
      </c>
      <c r="DH63" s="25">
        <f t="shared" si="13"/>
        <v>874.71098854067168</v>
      </c>
      <c r="DI63">
        <v>8382.3164913661712</v>
      </c>
      <c r="DJ63" s="27">
        <f t="shared" si="16"/>
        <v>8382.3164913661712</v>
      </c>
    </row>
    <row r="64" spans="4:114" x14ac:dyDescent="0.25">
      <c r="O64" s="16">
        <f>MAX((P63*$C$15+P65*(1-$C$15))*EXP(-$C$9*$C$13),$C$8-O63)</f>
        <v>15916.583596921158</v>
      </c>
      <c r="P64" s="15">
        <f>O63*$C$14</f>
        <v>21239.308924287212</v>
      </c>
      <c r="Q64" s="16">
        <f>MAX((R63*$C$15+R65*(1-$C$15))*EXP(-$C$9*$C$13),$C$8-Q63)</f>
        <v>15916.583596921158</v>
      </c>
      <c r="R64" s="15">
        <f>Q65/$C$14</f>
        <v>21239.308924287212</v>
      </c>
      <c r="S64" s="16">
        <f>MAX((T63*$C$15+T65*(1-$C$15))*EXP(-$C$9*$C$13),$C$8-S63)</f>
        <v>15916.583596921158</v>
      </c>
      <c r="T64" s="15">
        <f>S65/$C$14</f>
        <v>21239.308924287212</v>
      </c>
      <c r="U64" s="16">
        <f>MAX((V63*$C$15+V65*(1-$C$15))*EXP(-$C$9*$C$13),$C$8-U63)</f>
        <v>15916.583596921158</v>
      </c>
      <c r="V64" s="15">
        <f>U65/$C$14</f>
        <v>21239.308924287212</v>
      </c>
      <c r="W64" s="16">
        <f>MAX((X63*$C$15+X65*(1-$C$15))*EXP(-$C$9*$C$13),$C$8-W63)</f>
        <v>15916.583596921158</v>
      </c>
      <c r="X64" s="15">
        <f>W65/$C$14</f>
        <v>21239.308924287212</v>
      </c>
      <c r="Y64" s="16">
        <f>MAX((Z63*$C$15+Z65*(1-$C$15))*EXP(-$C$9*$C$13),$C$8-Y63)</f>
        <v>15916.583596921158</v>
      </c>
      <c r="Z64" s="15">
        <f>Y65/$C$14</f>
        <v>21239.308924287212</v>
      </c>
      <c r="AA64" s="16">
        <f>MAX((AB63*$C$15+AB65*(1-$C$15))*EXP(-$C$9*$C$13),$C$8-AA63)</f>
        <v>15916.583596921158</v>
      </c>
      <c r="AB64" s="15">
        <f>AA65/$C$14</f>
        <v>21239.308924287212</v>
      </c>
      <c r="AC64" s="16">
        <f>MAX((AD63*$C$15+AD65*(1-$C$15))*EXP(-$C$9*$C$13),$C$8-AC63)</f>
        <v>15916.583596921158</v>
      </c>
      <c r="AD64" s="15">
        <f>AC65/$C$14</f>
        <v>21239.308924287212</v>
      </c>
      <c r="AE64" s="16">
        <f>MAX((AF63*$C$15+AF65*(1-$C$15))*EXP(-$C$9*$C$13),$C$8-AE63)</f>
        <v>15916.583596921158</v>
      </c>
      <c r="AF64" s="15">
        <f>AE65/$C$14</f>
        <v>21239.308924287212</v>
      </c>
      <c r="AG64" s="16">
        <f>MAX((AH63*$C$15+AH65*(1-$C$15))*EXP(-$C$9*$C$13),$C$8-AG63)</f>
        <v>15916.583596921158</v>
      </c>
      <c r="AH64" s="15">
        <f>AG65/$C$14</f>
        <v>21239.308924287212</v>
      </c>
      <c r="AI64" s="16">
        <f>MAX((AJ63*$C$15+AJ65*(1-$C$15))*EXP(-$C$9*$C$13),$C$8-AI63)</f>
        <v>15916.583596921158</v>
      </c>
      <c r="AJ64" s="15">
        <f>AI65/$C$14</f>
        <v>21239.308924287212</v>
      </c>
      <c r="AK64" s="16">
        <f>MAX((AL63*$C$15+AL65*(1-$C$15))*EXP(-$C$9*$C$13),$C$8-AK63)</f>
        <v>15916.583596921158</v>
      </c>
      <c r="AL64" s="15">
        <f>AK65/$C$14</f>
        <v>21239.308924287212</v>
      </c>
      <c r="AM64" s="16">
        <f>MAX((AN63*$C$15+AN65*(1-$C$15))*EXP(-$C$9*$C$13),$C$8-AM63)</f>
        <v>15916.583596921158</v>
      </c>
      <c r="AN64" s="15">
        <f>AM65/$C$14</f>
        <v>21239.308924287212</v>
      </c>
      <c r="AO64" s="16">
        <f>MAX((AP63*$C$15+AP65*(1-$C$15))*EXP(-$C$9*$C$13),$C$8-AO63)</f>
        <v>15916.583596921158</v>
      </c>
      <c r="AP64" s="15">
        <f>AO65/$C$14</f>
        <v>21239.308924287212</v>
      </c>
      <c r="AQ64" s="16">
        <f>MAX((AR63*$C$15+AR65*(1-$C$15))*EXP(-$C$9*$C$13),$C$8-AQ63)</f>
        <v>15916.583596921158</v>
      </c>
      <c r="AR64" s="15">
        <f>AQ65/$C$14</f>
        <v>21239.308924287212</v>
      </c>
      <c r="AS64" s="16">
        <f>MAX((AT63*$C$15+AT65*(1-$C$15))*EXP(-$C$9*$C$13),$C$8-AS63)</f>
        <v>15916.583596921158</v>
      </c>
      <c r="AT64" s="15">
        <f>AS65/$C$14</f>
        <v>21239.308924287212</v>
      </c>
      <c r="AU64" s="16">
        <f>MAX((AV63*$C$15+AV65*(1-$C$15))*EXP(-$C$9*$C$13),$C$8-AU63)</f>
        <v>15916.583596921158</v>
      </c>
      <c r="AV64" s="15">
        <f>AU65/$C$14</f>
        <v>21239.308924287212</v>
      </c>
      <c r="AW64" s="16">
        <f>MAX((AX63*$C$15+AX65*(1-$C$15))*EXP(-$C$9*$C$13),$C$8-AW63)</f>
        <v>15916.583596921158</v>
      </c>
      <c r="AX64" s="15">
        <f>AW65/$C$14</f>
        <v>21239.308924287212</v>
      </c>
      <c r="AY64" s="16">
        <f>MAX((AZ63*$C$15+AZ65*(1-$C$15))*EXP(-$C$9*$C$13),$C$8-AY63)</f>
        <v>15916.583596921158</v>
      </c>
      <c r="AZ64" s="15">
        <f>AY65/$C$14</f>
        <v>21239.308924287212</v>
      </c>
      <c r="BA64" s="16">
        <f>MAX((BB63*$C$15+BB65*(1-$C$15))*EXP(-$C$9*$C$13),$C$8-BA63)</f>
        <v>15916.583596921158</v>
      </c>
      <c r="BB64" s="15">
        <f>BA65/$C$14</f>
        <v>21239.308924287212</v>
      </c>
      <c r="BD64" s="55">
        <f t="shared" si="14"/>
        <v>29383.46666666678</v>
      </c>
      <c r="BE64" s="48">
        <v>9191.8526900310681</v>
      </c>
      <c r="BF64" s="48">
        <v>9174.0669902815462</v>
      </c>
      <c r="BG64" s="48">
        <v>9156.2765956572439</v>
      </c>
      <c r="BH64" s="48">
        <v>9138.4872954536913</v>
      </c>
      <c r="BI64" s="48">
        <v>9120.7046597187291</v>
      </c>
      <c r="BJ64" s="48">
        <v>9102.93394022557</v>
      </c>
      <c r="BK64" s="48">
        <v>9085.18001826609</v>
      </c>
      <c r="BL64" s="48">
        <v>9067.4474605732776</v>
      </c>
      <c r="BM64" s="48">
        <v>9049.7407748272271</v>
      </c>
      <c r="BN64" s="48">
        <v>9032.0649768628828</v>
      </c>
      <c r="BO64" s="48">
        <v>9014.4265527813932</v>
      </c>
      <c r="BP64" s="48">
        <v>8996.8347351600205</v>
      </c>
      <c r="BQ64" s="48">
        <v>8979.3025862949762</v>
      </c>
      <c r="BR64" s="48">
        <v>8961.8466884673053</v>
      </c>
      <c r="BS64" s="48">
        <v>8944.484258017148</v>
      </c>
      <c r="BT64" s="48">
        <v>8927.2325897207793</v>
      </c>
      <c r="BU64" s="48">
        <v>8910.1085325651184</v>
      </c>
      <c r="BV64" s="48">
        <v>8893.1278698481674</v>
      </c>
      <c r="BW64" s="48">
        <v>8876.304768444561</v>
      </c>
      <c r="BX64" s="48">
        <v>8859.6517135059312</v>
      </c>
      <c r="BY64" s="48">
        <v>8843.1807684693285</v>
      </c>
      <c r="BZ64" s="48">
        <v>8826.9074598485186</v>
      </c>
      <c r="CA64" s="48">
        <v>8810.8581095576501</v>
      </c>
      <c r="CB64" s="48">
        <v>8795.0759615923034</v>
      </c>
      <c r="CC64" s="48">
        <v>8779.606304085115</v>
      </c>
      <c r="CD64" s="48">
        <v>8764.4945512243085</v>
      </c>
      <c r="CE64" s="48">
        <v>8749.7829111967185</v>
      </c>
      <c r="CF64" s="48">
        <v>8735.5054823386054</v>
      </c>
      <c r="CG64" s="48">
        <v>8721.6833659440981</v>
      </c>
      <c r="CH64" s="48">
        <v>8708.3279725389693</v>
      </c>
      <c r="CI64" s="48">
        <v>8695.4823095986667</v>
      </c>
      <c r="CJ64" s="48">
        <v>8683.251366826662</v>
      </c>
      <c r="CK64" s="48">
        <v>8671.7494976781127</v>
      </c>
      <c r="CL64" s="48">
        <v>8661.0890167103844</v>
      </c>
      <c r="CM64" s="48">
        <v>8651.3456675078069</v>
      </c>
      <c r="CN64" s="48">
        <v>8642.4628188830993</v>
      </c>
      <c r="CO64" s="48">
        <v>8634.3579573158113</v>
      </c>
      <c r="CP64" s="48">
        <v>8627.2629860830875</v>
      </c>
      <c r="CQ64" s="48">
        <v>8621.5114568491208</v>
      </c>
      <c r="CR64" s="48">
        <v>8617.6286984613325</v>
      </c>
      <c r="CS64" s="48">
        <v>8616.5333333333292</v>
      </c>
      <c r="CT64" s="48">
        <v>8616.5333333333292</v>
      </c>
      <c r="CU64" s="48">
        <v>8616.5333333333292</v>
      </c>
      <c r="CV64" s="48">
        <v>8616.5333333333292</v>
      </c>
      <c r="CW64" s="48">
        <v>8616.5333333333292</v>
      </c>
      <c r="CX64" s="48">
        <v>8616.5333333333292</v>
      </c>
      <c r="CY64" s="48">
        <v>8616.5333333333292</v>
      </c>
      <c r="CZ64" s="48">
        <v>8616.5333333333292</v>
      </c>
      <c r="DA64" s="48">
        <v>8616.5333333333292</v>
      </c>
      <c r="DB64" s="48">
        <v>8616.5333333333292</v>
      </c>
      <c r="DC64" s="49">
        <f t="shared" si="15"/>
        <v>8616.5333333333292</v>
      </c>
      <c r="DD64" s="5">
        <f t="shared" si="10"/>
        <v>26</v>
      </c>
      <c r="DE64" s="30" cm="1">
        <f t="array" ref="DE64">1/2*(rf-q)*DD64*dt-1/2*(sigma^2)*(DD64^2)*dt</f>
        <v>-0.50993183835616429</v>
      </c>
      <c r="DF64" s="25">
        <f t="shared" si="11"/>
        <v>2.0270538136986298</v>
      </c>
      <c r="DG64" s="6">
        <f t="shared" si="12"/>
        <v>-0.51685567397260268</v>
      </c>
      <c r="DH64" s="25">
        <f t="shared" si="13"/>
        <v>610.85306863531878</v>
      </c>
      <c r="DI64">
        <v>9245.1228953862101</v>
      </c>
      <c r="DJ64" s="27">
        <f t="shared" si="16"/>
        <v>9245.1228953862101</v>
      </c>
    </row>
    <row r="65" spans="16:114" x14ac:dyDescent="0.25">
      <c r="P65" s="16">
        <f>MAX((Q64*$C$15+Q66*(1-$C$15))*EXP(-$C$9*$C$13),$C$8-P64)</f>
        <v>16760.691075712788</v>
      </c>
      <c r="Q65" s="15">
        <f>P64*$C$14</f>
        <v>20427.466264613544</v>
      </c>
      <c r="R65" s="16">
        <f>MAX((S64*$C$15+S66*(1-$C$15))*EXP(-$C$9*$C$13),$C$8-R64)</f>
        <v>16760.691075712788</v>
      </c>
      <c r="S65" s="15">
        <f>R66/$C$14</f>
        <v>20427.466264613544</v>
      </c>
      <c r="T65" s="16">
        <f>MAX((U64*$C$15+U66*(1-$C$15))*EXP(-$C$9*$C$13),$C$8-T64)</f>
        <v>16760.691075712788</v>
      </c>
      <c r="U65" s="15">
        <f>T66/$C$14</f>
        <v>20427.466264613544</v>
      </c>
      <c r="V65" s="16">
        <f>MAX((W64*$C$15+W66*(1-$C$15))*EXP(-$C$9*$C$13),$C$8-V64)</f>
        <v>16760.691075712788</v>
      </c>
      <c r="W65" s="15">
        <f>V66/$C$14</f>
        <v>20427.466264613544</v>
      </c>
      <c r="X65" s="16">
        <f>MAX((Y64*$C$15+Y66*(1-$C$15))*EXP(-$C$9*$C$13),$C$8-X64)</f>
        <v>16760.691075712788</v>
      </c>
      <c r="Y65" s="15">
        <f>X66/$C$14</f>
        <v>20427.466264613544</v>
      </c>
      <c r="Z65" s="16">
        <f>MAX((AA64*$C$15+AA66*(1-$C$15))*EXP(-$C$9*$C$13),$C$8-Z64)</f>
        <v>16760.691075712788</v>
      </c>
      <c r="AA65" s="15">
        <f>Z66/$C$14</f>
        <v>20427.466264613544</v>
      </c>
      <c r="AB65" s="16">
        <f>MAX((AC64*$C$15+AC66*(1-$C$15))*EXP(-$C$9*$C$13),$C$8-AB64)</f>
        <v>16760.691075712788</v>
      </c>
      <c r="AC65" s="15">
        <f>AB66/$C$14</f>
        <v>20427.466264613544</v>
      </c>
      <c r="AD65" s="16">
        <f>MAX((AE64*$C$15+AE66*(1-$C$15))*EXP(-$C$9*$C$13),$C$8-AD64)</f>
        <v>16760.691075712788</v>
      </c>
      <c r="AE65" s="15">
        <f>AD66/$C$14</f>
        <v>20427.466264613544</v>
      </c>
      <c r="AF65" s="16">
        <f>MAX((AG64*$C$15+AG66*(1-$C$15))*EXP(-$C$9*$C$13),$C$8-AF64)</f>
        <v>16760.691075712788</v>
      </c>
      <c r="AG65" s="15">
        <f>AF66/$C$14</f>
        <v>20427.466264613544</v>
      </c>
      <c r="AH65" s="16">
        <f>MAX((AI64*$C$15+AI66*(1-$C$15))*EXP(-$C$9*$C$13),$C$8-AH64)</f>
        <v>16760.691075712788</v>
      </c>
      <c r="AI65" s="15">
        <f>AH66/$C$14</f>
        <v>20427.466264613544</v>
      </c>
      <c r="AJ65" s="16">
        <f>MAX((AK64*$C$15+AK66*(1-$C$15))*EXP(-$C$9*$C$13),$C$8-AJ64)</f>
        <v>16760.691075712788</v>
      </c>
      <c r="AK65" s="15">
        <f>AJ66/$C$14</f>
        <v>20427.466264613544</v>
      </c>
      <c r="AL65" s="16">
        <f>MAX((AM64*$C$15+AM66*(1-$C$15))*EXP(-$C$9*$C$13),$C$8-AL64)</f>
        <v>16760.691075712788</v>
      </c>
      <c r="AM65" s="15">
        <f>AL66/$C$14</f>
        <v>20427.466264613544</v>
      </c>
      <c r="AN65" s="16">
        <f>MAX((AO64*$C$15+AO66*(1-$C$15))*EXP(-$C$9*$C$13),$C$8-AN64)</f>
        <v>16760.691075712788</v>
      </c>
      <c r="AO65" s="15">
        <f>AN66/$C$14</f>
        <v>20427.466264613544</v>
      </c>
      <c r="AP65" s="16">
        <f>MAX((AQ64*$C$15+AQ66*(1-$C$15))*EXP(-$C$9*$C$13),$C$8-AP64)</f>
        <v>16760.691075712788</v>
      </c>
      <c r="AQ65" s="15">
        <f>AP66/$C$14</f>
        <v>20427.466264613544</v>
      </c>
      <c r="AR65" s="16">
        <f>MAX((AS64*$C$15+AS66*(1-$C$15))*EXP(-$C$9*$C$13),$C$8-AR64)</f>
        <v>16760.691075712788</v>
      </c>
      <c r="AS65" s="15">
        <f>AR66/$C$14</f>
        <v>20427.466264613544</v>
      </c>
      <c r="AT65" s="16">
        <f>MAX((AU64*$C$15+AU66*(1-$C$15))*EXP(-$C$9*$C$13),$C$8-AT64)</f>
        <v>16760.691075712788</v>
      </c>
      <c r="AU65" s="15">
        <f>AT66/$C$14</f>
        <v>20427.466264613544</v>
      </c>
      <c r="AV65" s="16">
        <f>MAX((AW64*$C$15+AW66*(1-$C$15))*EXP(-$C$9*$C$13),$C$8-AV64)</f>
        <v>16760.691075712788</v>
      </c>
      <c r="AW65" s="15">
        <f>AV66/$C$14</f>
        <v>20427.466264613544</v>
      </c>
      <c r="AX65" s="16">
        <f>MAX((AY64*$C$15+AY66*(1-$C$15))*EXP(-$C$9*$C$13),$C$8-AX64)</f>
        <v>16760.691075712788</v>
      </c>
      <c r="AY65" s="15">
        <f>AX66/$C$14</f>
        <v>20427.466264613544</v>
      </c>
      <c r="AZ65" s="16">
        <f>MAX((BA64*$C$15+BA66*(1-$C$15))*EXP(-$C$9*$C$13),$C$8-AZ64)</f>
        <v>16760.691075712788</v>
      </c>
      <c r="BA65" s="15">
        <f>AZ66/$C$14</f>
        <v>20427.466264613544</v>
      </c>
      <c r="BB65" s="16">
        <f>MAX(0,$C$8-BB64)</f>
        <v>16760.691075712788</v>
      </c>
      <c r="BD65" s="55">
        <f t="shared" si="14"/>
        <v>28253.333333333445</v>
      </c>
      <c r="BE65" s="48">
        <v>10116.804198532951</v>
      </c>
      <c r="BF65" s="48">
        <v>10102.744188931774</v>
      </c>
      <c r="BG65" s="48">
        <v>10088.745147313299</v>
      </c>
      <c r="BH65" s="48">
        <v>10074.81691811346</v>
      </c>
      <c r="BI65" s="48">
        <v>10060.969180267743</v>
      </c>
      <c r="BJ65" s="48">
        <v>10047.211108365987</v>
      </c>
      <c r="BK65" s="48">
        <v>10033.550944884628</v>
      </c>
      <c r="BL65" s="48">
        <v>10019.995523792204</v>
      </c>
      <c r="BM65" s="48">
        <v>10006.549871857393</v>
      </c>
      <c r="BN65" s="48">
        <v>9993.2171779006912</v>
      </c>
      <c r="BO65" s="48">
        <v>9979.9996814386323</v>
      </c>
      <c r="BP65" s="48">
        <v>9966.9013039413403</v>
      </c>
      <c r="BQ65" s="48">
        <v>9953.9325975248757</v>
      </c>
      <c r="BR65" s="48">
        <v>9941.1157561393193</v>
      </c>
      <c r="BS65" s="48">
        <v>9928.4751298404681</v>
      </c>
      <c r="BT65" s="48">
        <v>9916.0362017457155</v>
      </c>
      <c r="BU65" s="48">
        <v>9903.8247743173361</v>
      </c>
      <c r="BV65" s="48">
        <v>9891.865497606932</v>
      </c>
      <c r="BW65" s="48">
        <v>9880.1794399623705</v>
      </c>
      <c r="BX65" s="48">
        <v>9868.7805283354064</v>
      </c>
      <c r="BY65" s="48">
        <v>9857.671500528415</v>
      </c>
      <c r="BZ65" s="48">
        <v>9846.8430321368505</v>
      </c>
      <c r="CA65" s="48">
        <v>9836.2892657128632</v>
      </c>
      <c r="CB65" s="48">
        <v>9826.0620752467839</v>
      </c>
      <c r="CC65" s="48">
        <v>9816.2202207309656</v>
      </c>
      <c r="CD65" s="48">
        <v>9806.8289151682475</v>
      </c>
      <c r="CE65" s="48">
        <v>9797.9566955658411</v>
      </c>
      <c r="CF65" s="48">
        <v>9789.6651499977725</v>
      </c>
      <c r="CG65" s="48">
        <v>9781.9803638200192</v>
      </c>
      <c r="CH65" s="48">
        <v>9774.8181857556865</v>
      </c>
      <c r="CI65" s="48">
        <v>9768.0777768451135</v>
      </c>
      <c r="CJ65" s="48">
        <v>9761.8665822105813</v>
      </c>
      <c r="CK65" s="48">
        <v>9756.3313029555975</v>
      </c>
      <c r="CL65" s="48">
        <v>9751.6860980512083</v>
      </c>
      <c r="CM65" s="48">
        <v>9748.2697125368977</v>
      </c>
      <c r="CN65" s="48">
        <v>9746.6666666666642</v>
      </c>
      <c r="CO65" s="48">
        <v>9746.6666666666642</v>
      </c>
      <c r="CP65" s="48">
        <v>9746.6666666666642</v>
      </c>
      <c r="CQ65" s="48">
        <v>9746.6666666666642</v>
      </c>
      <c r="CR65" s="48">
        <v>9746.6666666666642</v>
      </c>
      <c r="CS65" s="48">
        <v>9746.6666666666642</v>
      </c>
      <c r="CT65" s="48">
        <v>9746.6666666666642</v>
      </c>
      <c r="CU65" s="48">
        <v>9746.6666666666642</v>
      </c>
      <c r="CV65" s="48">
        <v>9746.6666666666642</v>
      </c>
      <c r="CW65" s="48">
        <v>9746.6666666666642</v>
      </c>
      <c r="CX65" s="48">
        <v>9746.6666666666642</v>
      </c>
      <c r="CY65" s="48">
        <v>9746.6666666666642</v>
      </c>
      <c r="CZ65" s="48">
        <v>9746.6666666666642</v>
      </c>
      <c r="DA65" s="48">
        <v>9746.6666666666642</v>
      </c>
      <c r="DB65" s="48">
        <v>9746.6666666666642</v>
      </c>
      <c r="DC65" s="49">
        <f t="shared" si="15"/>
        <v>9746.6666666666642</v>
      </c>
      <c r="DD65" s="5">
        <f t="shared" si="10"/>
        <v>25</v>
      </c>
      <c r="DE65" s="30" cm="1">
        <f t="array" ref="DE65">1/2*(rf-q)*DD65*dt-1/2*(sigma^2)*(DD65^2)*dt</f>
        <v>-0.47133261986301361</v>
      </c>
      <c r="DF65" s="25">
        <f t="shared" si="11"/>
        <v>1.9495890753424654</v>
      </c>
      <c r="DG65" s="6">
        <f t="shared" si="12"/>
        <v>-0.47799015410958895</v>
      </c>
      <c r="DH65" s="25">
        <f t="shared" si="13"/>
        <v>398.40166637674884</v>
      </c>
      <c r="DI65">
        <v>10159.254613989018</v>
      </c>
      <c r="DJ65" s="27">
        <f t="shared" si="16"/>
        <v>10159.254613989018</v>
      </c>
    </row>
    <row r="66" spans="16:114" x14ac:dyDescent="0.25">
      <c r="Q66" s="16">
        <f>MAX((R65*$C$15+R67*(1-$C$15))*EXP(-$C$9*$C$13),$C$8-Q65)</f>
        <v>17572.533735386456</v>
      </c>
      <c r="R66" s="15">
        <f>Q65*$C$14</f>
        <v>19646.655146804795</v>
      </c>
      <c r="S66" s="16">
        <f>MAX((T65*$C$15+T67*(1-$C$15))*EXP(-$C$9*$C$13),$C$8-S65)</f>
        <v>17572.533735386456</v>
      </c>
      <c r="T66" s="15">
        <f>S67/$C$14</f>
        <v>19646.655146804795</v>
      </c>
      <c r="U66" s="16">
        <f>MAX((V65*$C$15+V67*(1-$C$15))*EXP(-$C$9*$C$13),$C$8-U65)</f>
        <v>17572.533735386456</v>
      </c>
      <c r="V66" s="15">
        <f>U67/$C$14</f>
        <v>19646.655146804795</v>
      </c>
      <c r="W66" s="16">
        <f>MAX((X65*$C$15+X67*(1-$C$15))*EXP(-$C$9*$C$13),$C$8-W65)</f>
        <v>17572.533735386456</v>
      </c>
      <c r="X66" s="15">
        <f>W67/$C$14</f>
        <v>19646.655146804795</v>
      </c>
      <c r="Y66" s="16">
        <f>MAX((Z65*$C$15+Z67*(1-$C$15))*EXP(-$C$9*$C$13),$C$8-Y65)</f>
        <v>17572.533735386456</v>
      </c>
      <c r="Z66" s="15">
        <f>Y67/$C$14</f>
        <v>19646.655146804795</v>
      </c>
      <c r="AA66" s="16">
        <f>MAX((AB65*$C$15+AB67*(1-$C$15))*EXP(-$C$9*$C$13),$C$8-AA65)</f>
        <v>17572.533735386456</v>
      </c>
      <c r="AB66" s="15">
        <f>AA67/$C$14</f>
        <v>19646.655146804795</v>
      </c>
      <c r="AC66" s="16">
        <f>MAX((AD65*$C$15+AD67*(1-$C$15))*EXP(-$C$9*$C$13),$C$8-AC65)</f>
        <v>17572.533735386456</v>
      </c>
      <c r="AD66" s="15">
        <f>AC67/$C$14</f>
        <v>19646.655146804795</v>
      </c>
      <c r="AE66" s="16">
        <f>MAX((AF65*$C$15+AF67*(1-$C$15))*EXP(-$C$9*$C$13),$C$8-AE65)</f>
        <v>17572.533735386456</v>
      </c>
      <c r="AF66" s="15">
        <f>AE67/$C$14</f>
        <v>19646.655146804795</v>
      </c>
      <c r="AG66" s="16">
        <f>MAX((AH65*$C$15+AH67*(1-$C$15))*EXP(-$C$9*$C$13),$C$8-AG65)</f>
        <v>17572.533735386456</v>
      </c>
      <c r="AH66" s="15">
        <f>AG67/$C$14</f>
        <v>19646.655146804795</v>
      </c>
      <c r="AI66" s="16">
        <f>MAX((AJ65*$C$15+AJ67*(1-$C$15))*EXP(-$C$9*$C$13),$C$8-AI65)</f>
        <v>17572.533735386456</v>
      </c>
      <c r="AJ66" s="15">
        <f>AI67/$C$14</f>
        <v>19646.655146804795</v>
      </c>
      <c r="AK66" s="16">
        <f>MAX((AL65*$C$15+AL67*(1-$C$15))*EXP(-$C$9*$C$13),$C$8-AK65)</f>
        <v>17572.533735386456</v>
      </c>
      <c r="AL66" s="15">
        <f>AK67/$C$14</f>
        <v>19646.655146804795</v>
      </c>
      <c r="AM66" s="16">
        <f>MAX((AN65*$C$15+AN67*(1-$C$15))*EXP(-$C$9*$C$13),$C$8-AM65)</f>
        <v>17572.533735386456</v>
      </c>
      <c r="AN66" s="15">
        <f>AM67/$C$14</f>
        <v>19646.655146804795</v>
      </c>
      <c r="AO66" s="16">
        <f>MAX((AP65*$C$15+AP67*(1-$C$15))*EXP(-$C$9*$C$13),$C$8-AO65)</f>
        <v>17572.533735386456</v>
      </c>
      <c r="AP66" s="15">
        <f>AO67/$C$14</f>
        <v>19646.655146804795</v>
      </c>
      <c r="AQ66" s="16">
        <f>MAX((AR65*$C$15+AR67*(1-$C$15))*EXP(-$C$9*$C$13),$C$8-AQ65)</f>
        <v>17572.533735386456</v>
      </c>
      <c r="AR66" s="15">
        <f>AQ67/$C$14</f>
        <v>19646.655146804795</v>
      </c>
      <c r="AS66" s="16">
        <f>MAX((AT65*$C$15+AT67*(1-$C$15))*EXP(-$C$9*$C$13),$C$8-AS65)</f>
        <v>17572.533735386456</v>
      </c>
      <c r="AT66" s="15">
        <f>AS67/$C$14</f>
        <v>19646.655146804795</v>
      </c>
      <c r="AU66" s="16">
        <f>MAX((AV65*$C$15+AV67*(1-$C$15))*EXP(-$C$9*$C$13),$C$8-AU65)</f>
        <v>17572.533735386456</v>
      </c>
      <c r="AV66" s="15">
        <f>AU67/$C$14</f>
        <v>19646.655146804795</v>
      </c>
      <c r="AW66" s="16">
        <f>MAX((AX65*$C$15+AX67*(1-$C$15))*EXP(-$C$9*$C$13),$C$8-AW65)</f>
        <v>17572.533735386456</v>
      </c>
      <c r="AX66" s="15">
        <f>AW67/$C$14</f>
        <v>19646.655146804795</v>
      </c>
      <c r="AY66" s="16">
        <f>MAX((AZ65*$C$15+AZ67*(1-$C$15))*EXP(-$C$9*$C$13),$C$8-AY65)</f>
        <v>17572.533735386456</v>
      </c>
      <c r="AZ66" s="15">
        <f>AY67/$C$14</f>
        <v>19646.655146804795</v>
      </c>
      <c r="BA66" s="16">
        <f>MAX((BB65*$C$15+BB67*(1-$C$15))*EXP(-$C$9*$C$13),$C$8-BA65)</f>
        <v>17572.533735386456</v>
      </c>
      <c r="BB66" s="15">
        <f>BA67/$C$14</f>
        <v>19646.655146804795</v>
      </c>
      <c r="BD66" s="55">
        <f t="shared" si="14"/>
        <v>27123.20000000011</v>
      </c>
      <c r="BE66" s="48">
        <v>11090.366865673464</v>
      </c>
      <c r="BF66" s="48">
        <v>11079.947875075295</v>
      </c>
      <c r="BG66" s="48">
        <v>11069.635590858541</v>
      </c>
      <c r="BH66" s="48">
        <v>11059.444326573153</v>
      </c>
      <c r="BI66" s="48">
        <v>11049.38900359041</v>
      </c>
      <c r="BJ66" s="48">
        <v>11039.48475752261</v>
      </c>
      <c r="BK66" s="48">
        <v>11029.746232516431</v>
      </c>
      <c r="BL66" s="48">
        <v>11020.186399896331</v>
      </c>
      <c r="BM66" s="48">
        <v>11010.814715163326</v>
      </c>
      <c r="BN66" s="48">
        <v>11001.634530203773</v>
      </c>
      <c r="BO66" s="48">
        <v>10992.640210725551</v>
      </c>
      <c r="BP66" s="48">
        <v>10983.816226418541</v>
      </c>
      <c r="BQ66" s="48">
        <v>10975.145889897787</v>
      </c>
      <c r="BR66" s="48">
        <v>10966.652524097595</v>
      </c>
      <c r="BS66" s="48">
        <v>10958.365323357039</v>
      </c>
      <c r="BT66" s="48">
        <v>10950.317411655995</v>
      </c>
      <c r="BU66" s="48">
        <v>10942.546130982601</v>
      </c>
      <c r="BV66" s="48">
        <v>10935.092736411478</v>
      </c>
      <c r="BW66" s="48">
        <v>10928.000458649847</v>
      </c>
      <c r="BX66" s="48">
        <v>10921.30843407467</v>
      </c>
      <c r="BY66" s="48">
        <v>10915.035536384914</v>
      </c>
      <c r="BZ66" s="48">
        <v>10909.13987832466</v>
      </c>
      <c r="CA66" s="48">
        <v>10903.46047968739</v>
      </c>
      <c r="CB66" s="48">
        <v>10898.043386020294</v>
      </c>
      <c r="CC66" s="48">
        <v>10892.947361672916</v>
      </c>
      <c r="CD66" s="48">
        <v>10888.250682610644</v>
      </c>
      <c r="CE66" s="48">
        <v>10884.063368438772</v>
      </c>
      <c r="CF66" s="48">
        <v>10880.550244183207</v>
      </c>
      <c r="CG66" s="48">
        <v>10877.976347284297</v>
      </c>
      <c r="CH66" s="48">
        <v>10876.799999999996</v>
      </c>
      <c r="CI66" s="48">
        <v>10876.799999999996</v>
      </c>
      <c r="CJ66" s="48">
        <v>10876.799999999996</v>
      </c>
      <c r="CK66" s="48">
        <v>10876.799999999996</v>
      </c>
      <c r="CL66" s="48">
        <v>10876.799999999996</v>
      </c>
      <c r="CM66" s="48">
        <v>10876.799999999996</v>
      </c>
      <c r="CN66" s="48">
        <v>10876.799999999996</v>
      </c>
      <c r="CO66" s="48">
        <v>10876.799999999996</v>
      </c>
      <c r="CP66" s="48">
        <v>10876.799999999996</v>
      </c>
      <c r="CQ66" s="48">
        <v>10876.799999999996</v>
      </c>
      <c r="CR66" s="48">
        <v>10876.799999999996</v>
      </c>
      <c r="CS66" s="48">
        <v>10876.799999999996</v>
      </c>
      <c r="CT66" s="48">
        <v>10876.799999999996</v>
      </c>
      <c r="CU66" s="48">
        <v>10876.799999999996</v>
      </c>
      <c r="CV66" s="48">
        <v>10876.799999999996</v>
      </c>
      <c r="CW66" s="48">
        <v>10876.799999999996</v>
      </c>
      <c r="CX66" s="48">
        <v>10876.799999999996</v>
      </c>
      <c r="CY66" s="48">
        <v>10876.799999999996</v>
      </c>
      <c r="CZ66" s="48">
        <v>10876.799999999996</v>
      </c>
      <c r="DA66" s="48">
        <v>10876.799999999996</v>
      </c>
      <c r="DB66" s="48">
        <v>10876.799999999996</v>
      </c>
      <c r="DC66" s="49">
        <f t="shared" si="15"/>
        <v>10876.799999999996</v>
      </c>
      <c r="DD66" s="5">
        <f t="shared" si="10"/>
        <v>24</v>
      </c>
      <c r="DE66" s="30" cm="1">
        <f t="array" ref="DE66">1/2*(rf-q)*DD66*dt-1/2*(sigma^2)*(DD66^2)*dt</f>
        <v>-0.4342523178082191</v>
      </c>
      <c r="DF66" s="25">
        <f t="shared" ref="DF66:DF90" si="17">1+(sigma^2)*(DD66^2)*dt+rf*dt</f>
        <v>1.8751621698630134</v>
      </c>
      <c r="DG66" s="6">
        <f t="shared" ref="DG66:DG90" si="18">-0.5*dt*((rf-q)*DD66+sigma^2*DD66^2)</f>
        <v>-0.44064355068493144</v>
      </c>
      <c r="DH66" s="25">
        <f t="shared" si="13"/>
        <v>234.67182831550781</v>
      </c>
      <c r="DI66">
        <v>11122.136549785057</v>
      </c>
      <c r="DJ66" s="27">
        <f t="shared" ref="DJ66:DJ90" si="19">IF(DI66&lt;K-DD66*ds,K-DD66*ds,DI66)</f>
        <v>11122.136549785057</v>
      </c>
    </row>
    <row r="67" spans="16:114" x14ac:dyDescent="0.25">
      <c r="R67" s="16">
        <f>MAX((S66*$C$15+S68*(1-$C$15))*EXP(-$C$9*$C$13),$C$8-R66)</f>
        <v>18353.344853195205</v>
      </c>
      <c r="S67" s="15">
        <f>R66*$C$14</f>
        <v>18895.689433893367</v>
      </c>
      <c r="T67" s="16">
        <f>MAX((U66*$C$15+U68*(1-$C$15))*EXP(-$C$9*$C$13),$C$8-T66)</f>
        <v>18353.344853195205</v>
      </c>
      <c r="U67" s="15">
        <f>T68/$C$14</f>
        <v>18895.689433893367</v>
      </c>
      <c r="V67" s="16">
        <f>MAX((W66*$C$15+W68*(1-$C$15))*EXP(-$C$9*$C$13),$C$8-V66)</f>
        <v>18353.344853195205</v>
      </c>
      <c r="W67" s="15">
        <f>V68/$C$14</f>
        <v>18895.689433893367</v>
      </c>
      <c r="X67" s="16">
        <f>MAX((Y66*$C$15+Y68*(1-$C$15))*EXP(-$C$9*$C$13),$C$8-X66)</f>
        <v>18353.344853195205</v>
      </c>
      <c r="Y67" s="15">
        <f>X68/$C$14</f>
        <v>18895.689433893367</v>
      </c>
      <c r="Z67" s="16">
        <f>MAX((AA66*$C$15+AA68*(1-$C$15))*EXP(-$C$9*$C$13),$C$8-Z66)</f>
        <v>18353.344853195205</v>
      </c>
      <c r="AA67" s="15">
        <f>Z68/$C$14</f>
        <v>18895.689433893367</v>
      </c>
      <c r="AB67" s="16">
        <f>MAX((AC66*$C$15+AC68*(1-$C$15))*EXP(-$C$9*$C$13),$C$8-AB66)</f>
        <v>18353.344853195205</v>
      </c>
      <c r="AC67" s="15">
        <f>AB68/$C$14</f>
        <v>18895.689433893367</v>
      </c>
      <c r="AD67" s="16">
        <f>MAX((AE66*$C$15+AE68*(1-$C$15))*EXP(-$C$9*$C$13),$C$8-AD66)</f>
        <v>18353.344853195205</v>
      </c>
      <c r="AE67" s="15">
        <f>AD68/$C$14</f>
        <v>18895.689433893367</v>
      </c>
      <c r="AF67" s="16">
        <f>MAX((AG66*$C$15+AG68*(1-$C$15))*EXP(-$C$9*$C$13),$C$8-AF66)</f>
        <v>18353.344853195205</v>
      </c>
      <c r="AG67" s="15">
        <f>AF68/$C$14</f>
        <v>18895.689433893367</v>
      </c>
      <c r="AH67" s="16">
        <f>MAX((AI66*$C$15+AI68*(1-$C$15))*EXP(-$C$9*$C$13),$C$8-AH66)</f>
        <v>18353.344853195205</v>
      </c>
      <c r="AI67" s="15">
        <f>AH68/$C$14</f>
        <v>18895.689433893367</v>
      </c>
      <c r="AJ67" s="16">
        <f>MAX((AK66*$C$15+AK68*(1-$C$15))*EXP(-$C$9*$C$13),$C$8-AJ66)</f>
        <v>18353.344853195205</v>
      </c>
      <c r="AK67" s="15">
        <f>AJ68/$C$14</f>
        <v>18895.689433893367</v>
      </c>
      <c r="AL67" s="16">
        <f>MAX((AM66*$C$15+AM68*(1-$C$15))*EXP(-$C$9*$C$13),$C$8-AL66)</f>
        <v>18353.344853195205</v>
      </c>
      <c r="AM67" s="15">
        <f>AL68/$C$14</f>
        <v>18895.689433893367</v>
      </c>
      <c r="AN67" s="16">
        <f>MAX((AO66*$C$15+AO68*(1-$C$15))*EXP(-$C$9*$C$13),$C$8-AN66)</f>
        <v>18353.344853195205</v>
      </c>
      <c r="AO67" s="15">
        <f>AN68/$C$14</f>
        <v>18895.689433893367</v>
      </c>
      <c r="AP67" s="16">
        <f>MAX((AQ66*$C$15+AQ68*(1-$C$15))*EXP(-$C$9*$C$13),$C$8-AP66)</f>
        <v>18353.344853195205</v>
      </c>
      <c r="AQ67" s="15">
        <f>AP68/$C$14</f>
        <v>18895.689433893367</v>
      </c>
      <c r="AR67" s="16">
        <f>MAX((AS66*$C$15+AS68*(1-$C$15))*EXP(-$C$9*$C$13),$C$8-AR66)</f>
        <v>18353.344853195205</v>
      </c>
      <c r="AS67" s="15">
        <f>AR68/$C$14</f>
        <v>18895.689433893367</v>
      </c>
      <c r="AT67" s="16">
        <f>MAX((AU66*$C$15+AU68*(1-$C$15))*EXP(-$C$9*$C$13),$C$8-AT66)</f>
        <v>18353.344853195205</v>
      </c>
      <c r="AU67" s="15">
        <f>AT68/$C$14</f>
        <v>18895.689433893367</v>
      </c>
      <c r="AV67" s="16">
        <f>MAX((AW66*$C$15+AW68*(1-$C$15))*EXP(-$C$9*$C$13),$C$8-AV66)</f>
        <v>18353.344853195205</v>
      </c>
      <c r="AW67" s="15">
        <f>AV68/$C$14</f>
        <v>18895.689433893367</v>
      </c>
      <c r="AX67" s="16">
        <f>MAX((AY66*$C$15+AY68*(1-$C$15))*EXP(-$C$9*$C$13),$C$8-AX66)</f>
        <v>18353.344853195205</v>
      </c>
      <c r="AY67" s="15">
        <f>AX68/$C$14</f>
        <v>18895.689433893367</v>
      </c>
      <c r="AZ67" s="16">
        <f>MAX((BA66*$C$15+BA68*(1-$C$15))*EXP(-$C$9*$C$13),$C$8-AZ66)</f>
        <v>18353.344853195205</v>
      </c>
      <c r="BA67" s="15">
        <f>AZ68/$C$14</f>
        <v>18895.689433893367</v>
      </c>
      <c r="BB67" s="16">
        <f>MAX(0,$C$8-BB66)</f>
        <v>18353.344853195205</v>
      </c>
      <c r="BD67" s="55">
        <f t="shared" si="14"/>
        <v>25993.066666666775</v>
      </c>
      <c r="BE67" s="48">
        <v>12109.052230841782</v>
      </c>
      <c r="BF67" s="48">
        <v>12102.075733253809</v>
      </c>
      <c r="BG67" s="48">
        <v>12095.219457683819</v>
      </c>
      <c r="BH67" s="48">
        <v>12088.500861652734</v>
      </c>
      <c r="BI67" s="48">
        <v>12081.939701918947</v>
      </c>
      <c r="BJ67" s="48">
        <v>12075.558303883376</v>
      </c>
      <c r="BK67" s="48">
        <v>12069.381668751244</v>
      </c>
      <c r="BL67" s="48">
        <v>12063.437099754417</v>
      </c>
      <c r="BM67" s="48">
        <v>12057.752607562676</v>
      </c>
      <c r="BN67" s="48">
        <v>12052.352405033316</v>
      </c>
      <c r="BO67" s="48">
        <v>12047.245653361404</v>
      </c>
      <c r="BP67" s="48">
        <v>12042.399739167498</v>
      </c>
      <c r="BQ67" s="48">
        <v>12037.678188317248</v>
      </c>
      <c r="BR67" s="48">
        <v>12033.091962926152</v>
      </c>
      <c r="BS67" s="48">
        <v>12028.666141605958</v>
      </c>
      <c r="BT67" s="48">
        <v>12024.431908702609</v>
      </c>
      <c r="BU67" s="48">
        <v>12020.429327376576</v>
      </c>
      <c r="BV67" s="48">
        <v>12016.711977910143</v>
      </c>
      <c r="BW67" s="48">
        <v>12013.35503452076</v>
      </c>
      <c r="BX67" s="48">
        <v>12010.469899108028</v>
      </c>
      <c r="BY67" s="48">
        <v>12008.231751179728</v>
      </c>
      <c r="BZ67" s="48">
        <v>12006.933333333331</v>
      </c>
      <c r="CA67" s="48">
        <v>12006.933333333331</v>
      </c>
      <c r="CB67" s="48">
        <v>12006.933333333331</v>
      </c>
      <c r="CC67" s="48">
        <v>12006.933333333331</v>
      </c>
      <c r="CD67" s="48">
        <v>12006.933333333331</v>
      </c>
      <c r="CE67" s="48">
        <v>12006.933333333331</v>
      </c>
      <c r="CF67" s="48">
        <v>12006.933333333331</v>
      </c>
      <c r="CG67" s="48">
        <v>12006.933333333331</v>
      </c>
      <c r="CH67" s="48">
        <v>12006.933333333331</v>
      </c>
      <c r="CI67" s="48">
        <v>12006.933333333331</v>
      </c>
      <c r="CJ67" s="48">
        <v>12006.933333333331</v>
      </c>
      <c r="CK67" s="48">
        <v>12006.933333333331</v>
      </c>
      <c r="CL67" s="48">
        <v>12006.933333333331</v>
      </c>
      <c r="CM67" s="48">
        <v>12006.933333333331</v>
      </c>
      <c r="CN67" s="48">
        <v>12006.933333333331</v>
      </c>
      <c r="CO67" s="48">
        <v>12006.933333333331</v>
      </c>
      <c r="CP67" s="48">
        <v>12006.933333333331</v>
      </c>
      <c r="CQ67" s="48">
        <v>12006.933333333331</v>
      </c>
      <c r="CR67" s="48">
        <v>12006.933333333331</v>
      </c>
      <c r="CS67" s="48">
        <v>12006.933333333331</v>
      </c>
      <c r="CT67" s="48">
        <v>12006.933333333331</v>
      </c>
      <c r="CU67" s="48">
        <v>12006.933333333331</v>
      </c>
      <c r="CV67" s="48">
        <v>12006.933333333331</v>
      </c>
      <c r="CW67" s="48">
        <v>12006.933333333331</v>
      </c>
      <c r="CX67" s="48">
        <v>12006.933333333331</v>
      </c>
      <c r="CY67" s="48">
        <v>12006.933333333331</v>
      </c>
      <c r="CZ67" s="48">
        <v>12006.933333333331</v>
      </c>
      <c r="DA67" s="48">
        <v>12006.933333333331</v>
      </c>
      <c r="DB67" s="48">
        <v>12006.933333333331</v>
      </c>
      <c r="DC67" s="49">
        <f t="shared" si="15"/>
        <v>12006.933333333331</v>
      </c>
      <c r="DD67" s="5">
        <f t="shared" si="10"/>
        <v>23</v>
      </c>
      <c r="DE67" s="30" cm="1">
        <f t="array" ref="DE67">1/2*(rf-q)*DD67*dt-1/2*(sigma^2)*(DD67^2)*dt</f>
        <v>-0.39869093219178076</v>
      </c>
      <c r="DF67" s="25">
        <f t="shared" si="17"/>
        <v>1.8037730972602739</v>
      </c>
      <c r="DG67" s="6">
        <f t="shared" si="18"/>
        <v>-0.40481586369863004</v>
      </c>
      <c r="DH67" s="25">
        <f t="shared" si="13"/>
        <v>116.37244963936428</v>
      </c>
      <c r="DI67">
        <v>12130.569340560647</v>
      </c>
      <c r="DJ67" s="27">
        <f t="shared" si="19"/>
        <v>12130.569340560647</v>
      </c>
    </row>
    <row r="68" spans="16:114" x14ac:dyDescent="0.25">
      <c r="S68" s="16">
        <f>MAX((T67*$C$15+T69*(1-$C$15))*EXP(-$C$9*$C$13),$C$8-S67)</f>
        <v>19104.310566106633</v>
      </c>
      <c r="T68" s="15">
        <f>S67*$C$14</f>
        <v>18173.428327326103</v>
      </c>
      <c r="U68" s="16">
        <f>MAX((V67*$C$15+V69*(1-$C$15))*EXP(-$C$9*$C$13),$C$8-U67)</f>
        <v>19104.310566106633</v>
      </c>
      <c r="V68" s="15">
        <f>U69/$C$14</f>
        <v>18173.428327326103</v>
      </c>
      <c r="W68" s="16">
        <f>MAX((X67*$C$15+X69*(1-$C$15))*EXP(-$C$9*$C$13),$C$8-W67)</f>
        <v>19104.310566106633</v>
      </c>
      <c r="X68" s="15">
        <f>W69/$C$14</f>
        <v>18173.428327326103</v>
      </c>
      <c r="Y68" s="16">
        <f>MAX((Z67*$C$15+Z69*(1-$C$15))*EXP(-$C$9*$C$13),$C$8-Y67)</f>
        <v>19104.310566106633</v>
      </c>
      <c r="Z68" s="15">
        <f>Y69/$C$14</f>
        <v>18173.428327326103</v>
      </c>
      <c r="AA68" s="16">
        <f>MAX((AB67*$C$15+AB69*(1-$C$15))*EXP(-$C$9*$C$13),$C$8-AA67)</f>
        <v>19104.310566106633</v>
      </c>
      <c r="AB68" s="15">
        <f>AA69/$C$14</f>
        <v>18173.428327326103</v>
      </c>
      <c r="AC68" s="16">
        <f>MAX((AD67*$C$15+AD69*(1-$C$15))*EXP(-$C$9*$C$13),$C$8-AC67)</f>
        <v>19104.310566106633</v>
      </c>
      <c r="AD68" s="15">
        <f>AC69/$C$14</f>
        <v>18173.428327326103</v>
      </c>
      <c r="AE68" s="16">
        <f>MAX((AF67*$C$15+AF69*(1-$C$15))*EXP(-$C$9*$C$13),$C$8-AE67)</f>
        <v>19104.310566106633</v>
      </c>
      <c r="AF68" s="15">
        <f>AE69/$C$14</f>
        <v>18173.428327326103</v>
      </c>
      <c r="AG68" s="16">
        <f>MAX((AH67*$C$15+AH69*(1-$C$15))*EXP(-$C$9*$C$13),$C$8-AG67)</f>
        <v>19104.310566106633</v>
      </c>
      <c r="AH68" s="15">
        <f>AG69/$C$14</f>
        <v>18173.428327326103</v>
      </c>
      <c r="AI68" s="16">
        <f>MAX((AJ67*$C$15+AJ69*(1-$C$15))*EXP(-$C$9*$C$13),$C$8-AI67)</f>
        <v>19104.310566106633</v>
      </c>
      <c r="AJ68" s="15">
        <f>AI69/$C$14</f>
        <v>18173.428327326103</v>
      </c>
      <c r="AK68" s="16">
        <f>MAX((AL67*$C$15+AL69*(1-$C$15))*EXP(-$C$9*$C$13),$C$8-AK67)</f>
        <v>19104.310566106633</v>
      </c>
      <c r="AL68" s="15">
        <f>AK69/$C$14</f>
        <v>18173.428327326103</v>
      </c>
      <c r="AM68" s="16">
        <f>MAX((AN67*$C$15+AN69*(1-$C$15))*EXP(-$C$9*$C$13),$C$8-AM67)</f>
        <v>19104.310566106633</v>
      </c>
      <c r="AN68" s="15">
        <f>AM69/$C$14</f>
        <v>18173.428327326103</v>
      </c>
      <c r="AO68" s="16">
        <f>MAX((AP67*$C$15+AP69*(1-$C$15))*EXP(-$C$9*$C$13),$C$8-AO67)</f>
        <v>19104.310566106633</v>
      </c>
      <c r="AP68" s="15">
        <f>AO69/$C$14</f>
        <v>18173.428327326103</v>
      </c>
      <c r="AQ68" s="16">
        <f>MAX((AR67*$C$15+AR69*(1-$C$15))*EXP(-$C$9*$C$13),$C$8-AQ67)</f>
        <v>19104.310566106633</v>
      </c>
      <c r="AR68" s="15">
        <f>AQ69/$C$14</f>
        <v>18173.428327326103</v>
      </c>
      <c r="AS68" s="16">
        <f>MAX((AT67*$C$15+AT69*(1-$C$15))*EXP(-$C$9*$C$13),$C$8-AS67)</f>
        <v>19104.310566106633</v>
      </c>
      <c r="AT68" s="15">
        <f>AS69/$C$14</f>
        <v>18173.428327326103</v>
      </c>
      <c r="AU68" s="16">
        <f>MAX((AV67*$C$15+AV69*(1-$C$15))*EXP(-$C$9*$C$13),$C$8-AU67)</f>
        <v>19104.310566106633</v>
      </c>
      <c r="AV68" s="15">
        <f>AU69/$C$14</f>
        <v>18173.428327326103</v>
      </c>
      <c r="AW68" s="16">
        <f>MAX((AX67*$C$15+AX69*(1-$C$15))*EXP(-$C$9*$C$13),$C$8-AW67)</f>
        <v>19104.310566106633</v>
      </c>
      <c r="AX68" s="15">
        <f>AW69/$C$14</f>
        <v>18173.428327326103</v>
      </c>
      <c r="AY68" s="16">
        <f>MAX((AZ67*$C$15+AZ69*(1-$C$15))*EXP(-$C$9*$C$13),$C$8-AY67)</f>
        <v>19104.310566106633</v>
      </c>
      <c r="AZ68" s="15">
        <f>AY69/$C$14</f>
        <v>18173.428327326103</v>
      </c>
      <c r="BA68" s="16">
        <f>MAX((BB67*$C$15+BB69*(1-$C$15))*EXP(-$C$9*$C$13),$C$8-BA67)</f>
        <v>19104.310566106633</v>
      </c>
      <c r="BB68" s="15">
        <f>BA69/$C$14</f>
        <v>18173.428327326103</v>
      </c>
      <c r="BD68" s="55">
        <f t="shared" si="14"/>
        <v>24862.93333333344</v>
      </c>
      <c r="BE68" s="48">
        <v>13168.973880905787</v>
      </c>
      <c r="BF68" s="48">
        <v>13165.186560220751</v>
      </c>
      <c r="BG68" s="48">
        <v>13161.489478023634</v>
      </c>
      <c r="BH68" s="48">
        <v>13157.897528799445</v>
      </c>
      <c r="BI68" s="48">
        <v>13154.428949483068</v>
      </c>
      <c r="BJ68" s="48">
        <v>13151.106669154704</v>
      </c>
      <c r="BK68" s="48">
        <v>13147.960447925929</v>
      </c>
      <c r="BL68" s="48">
        <v>13145.030384946582</v>
      </c>
      <c r="BM68" s="48">
        <v>13142.372875526034</v>
      </c>
      <c r="BN68" s="48">
        <v>13140.071082851842</v>
      </c>
      <c r="BO68" s="48">
        <v>13138.253976367017</v>
      </c>
      <c r="BP68" s="48">
        <v>13137.13207983081</v>
      </c>
      <c r="BQ68" s="48">
        <v>13137.066666666666</v>
      </c>
      <c r="BR68" s="48">
        <v>13137.066666666666</v>
      </c>
      <c r="BS68" s="48">
        <v>13137.066666666666</v>
      </c>
      <c r="BT68" s="48">
        <v>13137.066666666666</v>
      </c>
      <c r="BU68" s="48">
        <v>13137.066666666666</v>
      </c>
      <c r="BV68" s="48">
        <v>13137.066666666666</v>
      </c>
      <c r="BW68" s="48">
        <v>13137.066666666666</v>
      </c>
      <c r="BX68" s="48">
        <v>13137.066666666666</v>
      </c>
      <c r="BY68" s="48">
        <v>13137.066666666666</v>
      </c>
      <c r="BZ68" s="48">
        <v>13137.066666666666</v>
      </c>
      <c r="CA68" s="48">
        <v>13137.066666666666</v>
      </c>
      <c r="CB68" s="48">
        <v>13137.066666666666</v>
      </c>
      <c r="CC68" s="48">
        <v>13137.066666666666</v>
      </c>
      <c r="CD68" s="48">
        <v>13137.066666666666</v>
      </c>
      <c r="CE68" s="48">
        <v>13137.066666666666</v>
      </c>
      <c r="CF68" s="48">
        <v>13137.066666666666</v>
      </c>
      <c r="CG68" s="48">
        <v>13137.066666666666</v>
      </c>
      <c r="CH68" s="48">
        <v>13137.066666666666</v>
      </c>
      <c r="CI68" s="48">
        <v>13137.066666666666</v>
      </c>
      <c r="CJ68" s="48">
        <v>13137.066666666666</v>
      </c>
      <c r="CK68" s="48">
        <v>13137.066666666666</v>
      </c>
      <c r="CL68" s="48">
        <v>13137.066666666666</v>
      </c>
      <c r="CM68" s="48">
        <v>13137.066666666666</v>
      </c>
      <c r="CN68" s="48">
        <v>13137.066666666666</v>
      </c>
      <c r="CO68" s="48">
        <v>13137.066666666666</v>
      </c>
      <c r="CP68" s="48">
        <v>13137.066666666666</v>
      </c>
      <c r="CQ68" s="48">
        <v>13137.066666666666</v>
      </c>
      <c r="CR68" s="48">
        <v>13137.066666666666</v>
      </c>
      <c r="CS68" s="48">
        <v>13137.066666666666</v>
      </c>
      <c r="CT68" s="48">
        <v>13137.066666666666</v>
      </c>
      <c r="CU68" s="48">
        <v>13137.066666666666</v>
      </c>
      <c r="CV68" s="48">
        <v>13137.066666666666</v>
      </c>
      <c r="CW68" s="48">
        <v>13137.066666666666</v>
      </c>
      <c r="CX68" s="48">
        <v>13137.066666666666</v>
      </c>
      <c r="CY68" s="48">
        <v>13137.066666666666</v>
      </c>
      <c r="CZ68" s="48">
        <v>13137.066666666666</v>
      </c>
      <c r="DA68" s="48">
        <v>13137.066666666666</v>
      </c>
      <c r="DB68" s="48">
        <v>13137.066666666666</v>
      </c>
      <c r="DC68" s="49">
        <f t="shared" si="15"/>
        <v>13137.066666666666</v>
      </c>
      <c r="DD68" s="5">
        <f t="shared" si="10"/>
        <v>22</v>
      </c>
      <c r="DE68" s="30" cm="1">
        <f t="array" ref="DE68">1/2*(rf-q)*DD68*dt-1/2*(sigma^2)*(DD68^2)*dt</f>
        <v>-0.36464846301369858</v>
      </c>
      <c r="DF68" s="25">
        <f t="shared" si="17"/>
        <v>1.7354218575342464</v>
      </c>
      <c r="DG68" s="6">
        <f t="shared" si="18"/>
        <v>-0.37050709315068486</v>
      </c>
      <c r="DH68" s="25">
        <f t="shared" ref="DH68:DH90" si="20">DE68*DI69+DF68*DI68+DG68*DI67-DC68</f>
        <v>39.704709354384249</v>
      </c>
      <c r="DI68">
        <v>13180.815288464441</v>
      </c>
      <c r="DJ68" s="27">
        <f t="shared" si="19"/>
        <v>13180.815288464441</v>
      </c>
    </row>
    <row r="69" spans="16:114" x14ac:dyDescent="0.25">
      <c r="T69" s="16">
        <f>MAX((U68*$C$15+U70*(1-$C$15))*EXP(-$C$9*$C$13),$C$8-T68)</f>
        <v>19826.571672673897</v>
      </c>
      <c r="U69" s="15">
        <f>T68*$C$14</f>
        <v>17478.774633967274</v>
      </c>
      <c r="V69" s="16">
        <f>MAX((W68*$C$15+W70*(1-$C$15))*EXP(-$C$9*$C$13),$C$8-V68)</f>
        <v>19826.571672673897</v>
      </c>
      <c r="W69" s="15">
        <f>V70/$C$14</f>
        <v>17478.774633967274</v>
      </c>
      <c r="X69" s="16">
        <f>MAX((Y68*$C$15+Y70*(1-$C$15))*EXP(-$C$9*$C$13),$C$8-X68)</f>
        <v>19826.571672673897</v>
      </c>
      <c r="Y69" s="15">
        <f>X70/$C$14</f>
        <v>17478.774633967274</v>
      </c>
      <c r="Z69" s="16">
        <f>MAX((AA68*$C$15+AA70*(1-$C$15))*EXP(-$C$9*$C$13),$C$8-Z68)</f>
        <v>19826.571672673897</v>
      </c>
      <c r="AA69" s="15">
        <f>Z70/$C$14</f>
        <v>17478.774633967274</v>
      </c>
      <c r="AB69" s="16">
        <f>MAX((AC68*$C$15+AC70*(1-$C$15))*EXP(-$C$9*$C$13),$C$8-AB68)</f>
        <v>19826.571672673897</v>
      </c>
      <c r="AC69" s="15">
        <f>AB70/$C$14</f>
        <v>17478.774633967274</v>
      </c>
      <c r="AD69" s="16">
        <f>MAX((AE68*$C$15+AE70*(1-$C$15))*EXP(-$C$9*$C$13),$C$8-AD68)</f>
        <v>19826.571672673897</v>
      </c>
      <c r="AE69" s="15">
        <f>AD70/$C$14</f>
        <v>17478.774633967274</v>
      </c>
      <c r="AF69" s="16">
        <f>MAX((AG68*$C$15+AG70*(1-$C$15))*EXP(-$C$9*$C$13),$C$8-AF68)</f>
        <v>19826.571672673897</v>
      </c>
      <c r="AG69" s="15">
        <f>AF70/$C$14</f>
        <v>17478.774633967274</v>
      </c>
      <c r="AH69" s="16">
        <f>MAX((AI68*$C$15+AI70*(1-$C$15))*EXP(-$C$9*$C$13),$C$8-AH68)</f>
        <v>19826.571672673897</v>
      </c>
      <c r="AI69" s="15">
        <f>AH70/$C$14</f>
        <v>17478.774633967274</v>
      </c>
      <c r="AJ69" s="16">
        <f>MAX((AK68*$C$15+AK70*(1-$C$15))*EXP(-$C$9*$C$13),$C$8-AJ68)</f>
        <v>19826.571672673897</v>
      </c>
      <c r="AK69" s="15">
        <f>AJ70/$C$14</f>
        <v>17478.774633967274</v>
      </c>
      <c r="AL69" s="16">
        <f>MAX((AM68*$C$15+AM70*(1-$C$15))*EXP(-$C$9*$C$13),$C$8-AL68)</f>
        <v>19826.571672673897</v>
      </c>
      <c r="AM69" s="15">
        <f>AL70/$C$14</f>
        <v>17478.774633967274</v>
      </c>
      <c r="AN69" s="16">
        <f>MAX((AO68*$C$15+AO70*(1-$C$15))*EXP(-$C$9*$C$13),$C$8-AN68)</f>
        <v>19826.571672673897</v>
      </c>
      <c r="AO69" s="15">
        <f>AN70/$C$14</f>
        <v>17478.774633967274</v>
      </c>
      <c r="AP69" s="16">
        <f>MAX((AQ68*$C$15+AQ70*(1-$C$15))*EXP(-$C$9*$C$13),$C$8-AP68)</f>
        <v>19826.571672673897</v>
      </c>
      <c r="AQ69" s="15">
        <f>AP70/$C$14</f>
        <v>17478.774633967274</v>
      </c>
      <c r="AR69" s="16">
        <f>MAX((AS68*$C$15+AS70*(1-$C$15))*EXP(-$C$9*$C$13),$C$8-AR68)</f>
        <v>19826.571672673897</v>
      </c>
      <c r="AS69" s="15">
        <f>AR70/$C$14</f>
        <v>17478.774633967274</v>
      </c>
      <c r="AT69" s="16">
        <f>MAX((AU68*$C$15+AU70*(1-$C$15))*EXP(-$C$9*$C$13),$C$8-AT68)</f>
        <v>19826.571672673897</v>
      </c>
      <c r="AU69" s="15">
        <f>AT70/$C$14</f>
        <v>17478.774633967274</v>
      </c>
      <c r="AV69" s="16">
        <f>MAX((AW68*$C$15+AW70*(1-$C$15))*EXP(-$C$9*$C$13),$C$8-AV68)</f>
        <v>19826.571672673897</v>
      </c>
      <c r="AW69" s="15">
        <f>AV70/$C$14</f>
        <v>17478.774633967274</v>
      </c>
      <c r="AX69" s="16">
        <f>MAX((AY68*$C$15+AY70*(1-$C$15))*EXP(-$C$9*$C$13),$C$8-AX68)</f>
        <v>19826.571672673897</v>
      </c>
      <c r="AY69" s="15">
        <f>AX70/$C$14</f>
        <v>17478.774633967274</v>
      </c>
      <c r="AZ69" s="16">
        <f>MAX((BA68*$C$15+BA70*(1-$C$15))*EXP(-$C$9*$C$13),$C$8-AZ68)</f>
        <v>19826.571672673897</v>
      </c>
      <c r="BA69" s="15">
        <f>AZ70/$C$14</f>
        <v>17478.774633967274</v>
      </c>
      <c r="BB69" s="16">
        <f>MAX(0,$C$8-BB68)</f>
        <v>19826.571672673897</v>
      </c>
      <c r="BD69" s="55">
        <f t="shared" ref="BD69:BD90" si="21">BD68-ds</f>
        <v>23732.800000000105</v>
      </c>
      <c r="BE69" s="48">
        <v>14267.199999999997</v>
      </c>
      <c r="BF69" s="48">
        <v>14267.199999999997</v>
      </c>
      <c r="BG69" s="48">
        <v>14267.199999999997</v>
      </c>
      <c r="BH69" s="48">
        <v>14267.199999999997</v>
      </c>
      <c r="BI69" s="48">
        <v>14267.199999999997</v>
      </c>
      <c r="BJ69" s="48">
        <v>14267.199999999997</v>
      </c>
      <c r="BK69" s="48">
        <v>14267.199999999997</v>
      </c>
      <c r="BL69" s="48">
        <v>14267.199999999997</v>
      </c>
      <c r="BM69" s="48">
        <v>14267.199999999997</v>
      </c>
      <c r="BN69" s="48">
        <v>14267.199999999997</v>
      </c>
      <c r="BO69" s="48">
        <v>14267.199999999997</v>
      </c>
      <c r="BP69" s="48">
        <v>14267.199999999997</v>
      </c>
      <c r="BQ69" s="48">
        <v>14267.199999999997</v>
      </c>
      <c r="BR69" s="48">
        <v>14267.199999999997</v>
      </c>
      <c r="BS69" s="48">
        <v>14267.199999999997</v>
      </c>
      <c r="BT69" s="48">
        <v>14267.199999999997</v>
      </c>
      <c r="BU69" s="48">
        <v>14267.199999999997</v>
      </c>
      <c r="BV69" s="48">
        <v>14267.199999999997</v>
      </c>
      <c r="BW69" s="48">
        <v>14267.199999999997</v>
      </c>
      <c r="BX69" s="48">
        <v>14267.199999999997</v>
      </c>
      <c r="BY69" s="48">
        <v>14267.199999999997</v>
      </c>
      <c r="BZ69" s="48">
        <v>14267.199999999997</v>
      </c>
      <c r="CA69" s="48">
        <v>14267.199999999997</v>
      </c>
      <c r="CB69" s="48">
        <v>14267.199999999997</v>
      </c>
      <c r="CC69" s="48">
        <v>14267.199999999997</v>
      </c>
      <c r="CD69" s="48">
        <v>14267.199999999997</v>
      </c>
      <c r="CE69" s="48">
        <v>14267.199999999997</v>
      </c>
      <c r="CF69" s="48">
        <v>14267.199999999997</v>
      </c>
      <c r="CG69" s="48">
        <v>14267.199999999997</v>
      </c>
      <c r="CH69" s="48">
        <v>14267.199999999997</v>
      </c>
      <c r="CI69" s="48">
        <v>14267.199999999997</v>
      </c>
      <c r="CJ69" s="48">
        <v>14267.199999999997</v>
      </c>
      <c r="CK69" s="48">
        <v>14267.199999999997</v>
      </c>
      <c r="CL69" s="48">
        <v>14267.199999999997</v>
      </c>
      <c r="CM69" s="48">
        <v>14267.199999999997</v>
      </c>
      <c r="CN69" s="48">
        <v>14267.199999999997</v>
      </c>
      <c r="CO69" s="48">
        <v>14267.199999999997</v>
      </c>
      <c r="CP69" s="48">
        <v>14267.199999999997</v>
      </c>
      <c r="CQ69" s="48">
        <v>14267.199999999997</v>
      </c>
      <c r="CR69" s="48">
        <v>14267.199999999997</v>
      </c>
      <c r="CS69" s="48">
        <v>14267.199999999997</v>
      </c>
      <c r="CT69" s="48">
        <v>14267.199999999997</v>
      </c>
      <c r="CU69" s="48">
        <v>14267.199999999997</v>
      </c>
      <c r="CV69" s="48">
        <v>14267.199999999997</v>
      </c>
      <c r="CW69" s="48">
        <v>14267.199999999997</v>
      </c>
      <c r="CX69" s="48">
        <v>14267.199999999997</v>
      </c>
      <c r="CY69" s="48">
        <v>14267.199999999997</v>
      </c>
      <c r="CZ69" s="48">
        <v>14267.199999999997</v>
      </c>
      <c r="DA69" s="48">
        <v>14267.199999999997</v>
      </c>
      <c r="DB69" s="48">
        <v>14267.199999999997</v>
      </c>
      <c r="DC69" s="49">
        <f t="shared" si="15"/>
        <v>14267.199999999997</v>
      </c>
      <c r="DD69" s="5">
        <f t="shared" si="10"/>
        <v>21</v>
      </c>
      <c r="DE69" s="30" cm="1">
        <f t="array" ref="DE69">1/2*(rf-q)*DD69*dt-1/2*(sigma^2)*(DD69^2)*dt</f>
        <v>-0.33212491027397256</v>
      </c>
      <c r="DF69" s="25">
        <f t="shared" si="17"/>
        <v>1.6701084506849313</v>
      </c>
      <c r="DG69" s="6">
        <f t="shared" si="18"/>
        <v>-0.3377172390410958</v>
      </c>
      <c r="DH69" s="25">
        <f t="shared" si="20"/>
        <v>0.36943434111890383</v>
      </c>
      <c r="DI69">
        <v>14268.650820755816</v>
      </c>
      <c r="DJ69" s="27">
        <f t="shared" si="19"/>
        <v>14268.650820755816</v>
      </c>
    </row>
    <row r="70" spans="16:114" x14ac:dyDescent="0.25">
      <c r="U70" s="16">
        <f>MAX((V69*$C$15+V71*(1-$C$15))*EXP(-$C$9*$C$13),$C$8-U69)</f>
        <v>20521.225366032726</v>
      </c>
      <c r="V70" s="15">
        <f>U69*$C$14</f>
        <v>16810.673099342937</v>
      </c>
      <c r="W70" s="16">
        <f>MAX((X69*$C$15+X71*(1-$C$15))*EXP(-$C$9*$C$13),$C$8-W69)</f>
        <v>20521.225366032726</v>
      </c>
      <c r="X70" s="15">
        <f>W71/$C$14</f>
        <v>16810.673099342937</v>
      </c>
      <c r="Y70" s="16">
        <f>MAX((Z69*$C$15+Z71*(1-$C$15))*EXP(-$C$9*$C$13),$C$8-Y69)</f>
        <v>20521.225366032726</v>
      </c>
      <c r="Z70" s="15">
        <f>Y71/$C$14</f>
        <v>16810.673099342937</v>
      </c>
      <c r="AA70" s="16">
        <f>MAX((AB69*$C$15+AB71*(1-$C$15))*EXP(-$C$9*$C$13),$C$8-AA69)</f>
        <v>20521.225366032726</v>
      </c>
      <c r="AB70" s="15">
        <f>AA71/$C$14</f>
        <v>16810.673099342937</v>
      </c>
      <c r="AC70" s="16">
        <f>MAX((AD69*$C$15+AD71*(1-$C$15))*EXP(-$C$9*$C$13),$C$8-AC69)</f>
        <v>20521.225366032726</v>
      </c>
      <c r="AD70" s="15">
        <f>AC71/$C$14</f>
        <v>16810.673099342937</v>
      </c>
      <c r="AE70" s="16">
        <f>MAX((AF69*$C$15+AF71*(1-$C$15))*EXP(-$C$9*$C$13),$C$8-AE69)</f>
        <v>20521.225366032726</v>
      </c>
      <c r="AF70" s="15">
        <f>AE71/$C$14</f>
        <v>16810.673099342937</v>
      </c>
      <c r="AG70" s="16">
        <f>MAX((AH69*$C$15+AH71*(1-$C$15))*EXP(-$C$9*$C$13),$C$8-AG69)</f>
        <v>20521.225366032726</v>
      </c>
      <c r="AH70" s="15">
        <f>AG71/$C$14</f>
        <v>16810.673099342937</v>
      </c>
      <c r="AI70" s="16">
        <f>MAX((AJ69*$C$15+AJ71*(1-$C$15))*EXP(-$C$9*$C$13),$C$8-AI69)</f>
        <v>20521.225366032726</v>
      </c>
      <c r="AJ70" s="15">
        <f>AI71/$C$14</f>
        <v>16810.673099342937</v>
      </c>
      <c r="AK70" s="16">
        <f>MAX((AL69*$C$15+AL71*(1-$C$15))*EXP(-$C$9*$C$13),$C$8-AK69)</f>
        <v>20521.225366032726</v>
      </c>
      <c r="AL70" s="15">
        <f>AK71/$C$14</f>
        <v>16810.673099342937</v>
      </c>
      <c r="AM70" s="16">
        <f>MAX((AN69*$C$15+AN71*(1-$C$15))*EXP(-$C$9*$C$13),$C$8-AM69)</f>
        <v>20521.225366032726</v>
      </c>
      <c r="AN70" s="15">
        <f>AM71/$C$14</f>
        <v>16810.673099342937</v>
      </c>
      <c r="AO70" s="16">
        <f>MAX((AP69*$C$15+AP71*(1-$C$15))*EXP(-$C$9*$C$13),$C$8-AO69)</f>
        <v>20521.225366032726</v>
      </c>
      <c r="AP70" s="15">
        <f>AO71/$C$14</f>
        <v>16810.673099342937</v>
      </c>
      <c r="AQ70" s="16">
        <f>MAX((AR69*$C$15+AR71*(1-$C$15))*EXP(-$C$9*$C$13),$C$8-AQ69)</f>
        <v>20521.225366032726</v>
      </c>
      <c r="AR70" s="15">
        <f>AQ71/$C$14</f>
        <v>16810.673099342937</v>
      </c>
      <c r="AS70" s="16">
        <f>MAX((AT69*$C$15+AT71*(1-$C$15))*EXP(-$C$9*$C$13),$C$8-AS69)</f>
        <v>20521.225366032726</v>
      </c>
      <c r="AT70" s="15">
        <f>AS71/$C$14</f>
        <v>16810.673099342937</v>
      </c>
      <c r="AU70" s="16">
        <f>MAX((AV69*$C$15+AV71*(1-$C$15))*EXP(-$C$9*$C$13),$C$8-AU69)</f>
        <v>20521.225366032726</v>
      </c>
      <c r="AV70" s="15">
        <f>AU71/$C$14</f>
        <v>16810.673099342937</v>
      </c>
      <c r="AW70" s="16">
        <f>MAX((AX69*$C$15+AX71*(1-$C$15))*EXP(-$C$9*$C$13),$C$8-AW69)</f>
        <v>20521.225366032726</v>
      </c>
      <c r="AX70" s="15">
        <f>AW71/$C$14</f>
        <v>16810.673099342937</v>
      </c>
      <c r="AY70" s="16">
        <f>MAX((AZ69*$C$15+AZ71*(1-$C$15))*EXP(-$C$9*$C$13),$C$8-AY69)</f>
        <v>20521.225366032726</v>
      </c>
      <c r="AZ70" s="15">
        <f>AY71/$C$14</f>
        <v>16810.673099342937</v>
      </c>
      <c r="BA70" s="16">
        <f>MAX((BB69*$C$15+BB71*(1-$C$15))*EXP(-$C$9*$C$13),$C$8-BA69)</f>
        <v>20521.225366032726</v>
      </c>
      <c r="BB70" s="15">
        <f>BA71/$C$14</f>
        <v>16810.673099342937</v>
      </c>
      <c r="BD70" s="55">
        <f t="shared" si="21"/>
        <v>22602.66666666677</v>
      </c>
      <c r="BE70" s="48">
        <v>15397.333333333332</v>
      </c>
      <c r="BF70" s="48">
        <v>15397.333333333332</v>
      </c>
      <c r="BG70" s="48">
        <v>15397.333333333332</v>
      </c>
      <c r="BH70" s="48">
        <v>15397.333333333332</v>
      </c>
      <c r="BI70" s="48">
        <v>15397.333333333332</v>
      </c>
      <c r="BJ70" s="48">
        <v>15397.333333333332</v>
      </c>
      <c r="BK70" s="48">
        <v>15397.333333333332</v>
      </c>
      <c r="BL70" s="48">
        <v>15397.333333333332</v>
      </c>
      <c r="BM70" s="48">
        <v>15397.333333333332</v>
      </c>
      <c r="BN70" s="48">
        <v>15397.333333333332</v>
      </c>
      <c r="BO70" s="48">
        <v>15397.333333333332</v>
      </c>
      <c r="BP70" s="48">
        <v>15397.333333333332</v>
      </c>
      <c r="BQ70" s="48">
        <v>15397.333333333332</v>
      </c>
      <c r="BR70" s="48">
        <v>15397.333333333332</v>
      </c>
      <c r="BS70" s="48">
        <v>15397.333333333332</v>
      </c>
      <c r="BT70" s="48">
        <v>15397.333333333332</v>
      </c>
      <c r="BU70" s="48">
        <v>15397.333333333332</v>
      </c>
      <c r="BV70" s="48">
        <v>15397.333333333332</v>
      </c>
      <c r="BW70" s="48">
        <v>15397.333333333332</v>
      </c>
      <c r="BX70" s="48">
        <v>15397.333333333332</v>
      </c>
      <c r="BY70" s="48">
        <v>15397.333333333332</v>
      </c>
      <c r="BZ70" s="48">
        <v>15397.333333333332</v>
      </c>
      <c r="CA70" s="48">
        <v>15397.333333333332</v>
      </c>
      <c r="CB70" s="48">
        <v>15397.333333333332</v>
      </c>
      <c r="CC70" s="48">
        <v>15397.333333333332</v>
      </c>
      <c r="CD70" s="48">
        <v>15397.333333333332</v>
      </c>
      <c r="CE70" s="48">
        <v>15397.333333333332</v>
      </c>
      <c r="CF70" s="48">
        <v>15397.333333333332</v>
      </c>
      <c r="CG70" s="48">
        <v>15397.333333333332</v>
      </c>
      <c r="CH70" s="48">
        <v>15397.333333333332</v>
      </c>
      <c r="CI70" s="48">
        <v>15397.333333333332</v>
      </c>
      <c r="CJ70" s="48">
        <v>15397.333333333332</v>
      </c>
      <c r="CK70" s="48">
        <v>15397.333333333332</v>
      </c>
      <c r="CL70" s="48">
        <v>15397.333333333332</v>
      </c>
      <c r="CM70" s="48">
        <v>15397.333333333332</v>
      </c>
      <c r="CN70" s="48">
        <v>15397.333333333332</v>
      </c>
      <c r="CO70" s="48">
        <v>15397.333333333332</v>
      </c>
      <c r="CP70" s="48">
        <v>15397.333333333332</v>
      </c>
      <c r="CQ70" s="48">
        <v>15397.333333333332</v>
      </c>
      <c r="CR70" s="48">
        <v>15397.333333333332</v>
      </c>
      <c r="CS70" s="48">
        <v>15397.333333333332</v>
      </c>
      <c r="CT70" s="48">
        <v>15397.333333333332</v>
      </c>
      <c r="CU70" s="48">
        <v>15397.333333333332</v>
      </c>
      <c r="CV70" s="48">
        <v>15397.333333333332</v>
      </c>
      <c r="CW70" s="48">
        <v>15397.333333333332</v>
      </c>
      <c r="CX70" s="48">
        <v>15397.333333333332</v>
      </c>
      <c r="CY70" s="48">
        <v>15397.333333333332</v>
      </c>
      <c r="CZ70" s="48">
        <v>15397.333333333332</v>
      </c>
      <c r="DA70" s="48">
        <v>15397.333333333332</v>
      </c>
      <c r="DB70" s="48">
        <v>15397.333333333332</v>
      </c>
      <c r="DC70" s="49">
        <f t="shared" si="15"/>
        <v>15397.333333333332</v>
      </c>
      <c r="DD70" s="5">
        <f t="shared" ref="DD70:DD90" si="22">DD69-1</f>
        <v>20</v>
      </c>
      <c r="DE70" s="30" cm="1">
        <f t="array" ref="DE70">1/2*(rf-q)*DD70*dt-1/2*(sigma^2)*(DD70^2)*dt</f>
        <v>-0.30112027397260271</v>
      </c>
      <c r="DF70" s="25">
        <f t="shared" si="17"/>
        <v>1.6078328767123287</v>
      </c>
      <c r="DG70" s="6">
        <f t="shared" si="18"/>
        <v>-0.30644630136986295</v>
      </c>
      <c r="DH70" s="25">
        <f t="shared" si="20"/>
        <v>8.3200575318187475E-9</v>
      </c>
      <c r="DI70">
        <v>15389.500081546061</v>
      </c>
      <c r="DJ70" s="27">
        <f t="shared" si="19"/>
        <v>15397.333333333332</v>
      </c>
    </row>
    <row r="71" spans="16:114" x14ac:dyDescent="0.25">
      <c r="V71" s="16">
        <f>MAX((W70*$C$15+W72*(1-$C$15))*EXP(-$C$9*$C$13),$C$8-V70)</f>
        <v>21189.326900657063</v>
      </c>
      <c r="W71" s="15">
        <f>V70*$C$14</f>
        <v>16168.108804594671</v>
      </c>
      <c r="X71" s="16">
        <f>MAX((Y70*$C$15+Y72*(1-$C$15))*EXP(-$C$9*$C$13),$C$8-X70)</f>
        <v>21189.326900657063</v>
      </c>
      <c r="Y71" s="15">
        <f>X72/$C$14</f>
        <v>16168.108804594671</v>
      </c>
      <c r="Z71" s="16">
        <f>MAX((AA70*$C$15+AA72*(1-$C$15))*EXP(-$C$9*$C$13),$C$8-Z70)</f>
        <v>21189.326900657063</v>
      </c>
      <c r="AA71" s="15">
        <f>Z72/$C$14</f>
        <v>16168.108804594671</v>
      </c>
      <c r="AB71" s="16">
        <f>MAX((AC70*$C$15+AC72*(1-$C$15))*EXP(-$C$9*$C$13),$C$8-AB70)</f>
        <v>21189.326900657063</v>
      </c>
      <c r="AC71" s="15">
        <f>AB72/$C$14</f>
        <v>16168.108804594671</v>
      </c>
      <c r="AD71" s="16">
        <f>MAX((AE70*$C$15+AE72*(1-$C$15))*EXP(-$C$9*$C$13),$C$8-AD70)</f>
        <v>21189.326900657063</v>
      </c>
      <c r="AE71" s="15">
        <f>AD72/$C$14</f>
        <v>16168.108804594671</v>
      </c>
      <c r="AF71" s="16">
        <f>MAX((AG70*$C$15+AG72*(1-$C$15))*EXP(-$C$9*$C$13),$C$8-AF70)</f>
        <v>21189.326900657063</v>
      </c>
      <c r="AG71" s="15">
        <f>AF72/$C$14</f>
        <v>16168.108804594671</v>
      </c>
      <c r="AH71" s="16">
        <f>MAX((AI70*$C$15+AI72*(1-$C$15))*EXP(-$C$9*$C$13),$C$8-AH70)</f>
        <v>21189.326900657063</v>
      </c>
      <c r="AI71" s="15">
        <f>AH72/$C$14</f>
        <v>16168.108804594671</v>
      </c>
      <c r="AJ71" s="16">
        <f>MAX((AK70*$C$15+AK72*(1-$C$15))*EXP(-$C$9*$C$13),$C$8-AJ70)</f>
        <v>21189.326900657063</v>
      </c>
      <c r="AK71" s="15">
        <f>AJ72/$C$14</f>
        <v>16168.108804594671</v>
      </c>
      <c r="AL71" s="16">
        <f>MAX((AM70*$C$15+AM72*(1-$C$15))*EXP(-$C$9*$C$13),$C$8-AL70)</f>
        <v>21189.326900657063</v>
      </c>
      <c r="AM71" s="15">
        <f>AL72/$C$14</f>
        <v>16168.108804594671</v>
      </c>
      <c r="AN71" s="16">
        <f>MAX((AO70*$C$15+AO72*(1-$C$15))*EXP(-$C$9*$C$13),$C$8-AN70)</f>
        <v>21189.326900657063</v>
      </c>
      <c r="AO71" s="15">
        <f>AN72/$C$14</f>
        <v>16168.108804594671</v>
      </c>
      <c r="AP71" s="16">
        <f>MAX((AQ70*$C$15+AQ72*(1-$C$15))*EXP(-$C$9*$C$13),$C$8-AP70)</f>
        <v>21189.326900657063</v>
      </c>
      <c r="AQ71" s="15">
        <f>AP72/$C$14</f>
        <v>16168.108804594671</v>
      </c>
      <c r="AR71" s="16">
        <f>MAX((AS70*$C$15+AS72*(1-$C$15))*EXP(-$C$9*$C$13),$C$8-AR70)</f>
        <v>21189.326900657063</v>
      </c>
      <c r="AS71" s="15">
        <f>AR72/$C$14</f>
        <v>16168.108804594671</v>
      </c>
      <c r="AT71" s="16">
        <f>MAX((AU70*$C$15+AU72*(1-$C$15))*EXP(-$C$9*$C$13),$C$8-AT70)</f>
        <v>21189.326900657063</v>
      </c>
      <c r="AU71" s="15">
        <f>AT72/$C$14</f>
        <v>16168.108804594671</v>
      </c>
      <c r="AV71" s="16">
        <f>MAX((AW70*$C$15+AW72*(1-$C$15))*EXP(-$C$9*$C$13),$C$8-AV70)</f>
        <v>21189.326900657063</v>
      </c>
      <c r="AW71" s="15">
        <f>AV72/$C$14</f>
        <v>16168.108804594671</v>
      </c>
      <c r="AX71" s="16">
        <f>MAX((AY70*$C$15+AY72*(1-$C$15))*EXP(-$C$9*$C$13),$C$8-AX70)</f>
        <v>21189.326900657063</v>
      </c>
      <c r="AY71" s="15">
        <f>AX72/$C$14</f>
        <v>16168.108804594671</v>
      </c>
      <c r="AZ71" s="16">
        <f>MAX((BA70*$C$15+BA72*(1-$C$15))*EXP(-$C$9*$C$13),$C$8-AZ70)</f>
        <v>21189.326900657063</v>
      </c>
      <c r="BA71" s="15">
        <f>AZ72/$C$14</f>
        <v>16168.108804594671</v>
      </c>
      <c r="BB71" s="16">
        <f>MAX(0,$C$8-BB70)</f>
        <v>21189.326900657063</v>
      </c>
      <c r="BD71" s="55">
        <f t="shared" si="21"/>
        <v>21472.533333333435</v>
      </c>
      <c r="BE71" s="48">
        <v>16527.466666666664</v>
      </c>
      <c r="BF71" s="48">
        <v>16527.466666666664</v>
      </c>
      <c r="BG71" s="48">
        <v>16527.466666666664</v>
      </c>
      <c r="BH71" s="48">
        <v>16527.466666666664</v>
      </c>
      <c r="BI71" s="48">
        <v>16527.466666666664</v>
      </c>
      <c r="BJ71" s="48">
        <v>16527.466666666664</v>
      </c>
      <c r="BK71" s="48">
        <v>16527.466666666664</v>
      </c>
      <c r="BL71" s="48">
        <v>16527.466666666664</v>
      </c>
      <c r="BM71" s="48">
        <v>16527.466666666664</v>
      </c>
      <c r="BN71" s="48">
        <v>16527.466666666664</v>
      </c>
      <c r="BO71" s="48">
        <v>16527.466666666664</v>
      </c>
      <c r="BP71" s="48">
        <v>16527.466666666664</v>
      </c>
      <c r="BQ71" s="48">
        <v>16527.466666666664</v>
      </c>
      <c r="BR71" s="48">
        <v>16527.466666666664</v>
      </c>
      <c r="BS71" s="48">
        <v>16527.466666666664</v>
      </c>
      <c r="BT71" s="48">
        <v>16527.466666666664</v>
      </c>
      <c r="BU71" s="48">
        <v>16527.466666666664</v>
      </c>
      <c r="BV71" s="48">
        <v>16527.466666666664</v>
      </c>
      <c r="BW71" s="48">
        <v>16527.466666666664</v>
      </c>
      <c r="BX71" s="48">
        <v>16527.466666666664</v>
      </c>
      <c r="BY71" s="48">
        <v>16527.466666666664</v>
      </c>
      <c r="BZ71" s="48">
        <v>16527.466666666664</v>
      </c>
      <c r="CA71" s="48">
        <v>16527.466666666664</v>
      </c>
      <c r="CB71" s="48">
        <v>16527.466666666664</v>
      </c>
      <c r="CC71" s="48">
        <v>16527.466666666664</v>
      </c>
      <c r="CD71" s="48">
        <v>16527.466666666664</v>
      </c>
      <c r="CE71" s="48">
        <v>16527.466666666664</v>
      </c>
      <c r="CF71" s="48">
        <v>16527.466666666664</v>
      </c>
      <c r="CG71" s="48">
        <v>16527.466666666664</v>
      </c>
      <c r="CH71" s="48">
        <v>16527.466666666664</v>
      </c>
      <c r="CI71" s="48">
        <v>16527.466666666664</v>
      </c>
      <c r="CJ71" s="48">
        <v>16527.466666666664</v>
      </c>
      <c r="CK71" s="48">
        <v>16527.466666666664</v>
      </c>
      <c r="CL71" s="48">
        <v>16527.466666666664</v>
      </c>
      <c r="CM71" s="48">
        <v>16527.466666666664</v>
      </c>
      <c r="CN71" s="48">
        <v>16527.466666666664</v>
      </c>
      <c r="CO71" s="48">
        <v>16527.466666666664</v>
      </c>
      <c r="CP71" s="48">
        <v>16527.466666666664</v>
      </c>
      <c r="CQ71" s="48">
        <v>16527.466666666664</v>
      </c>
      <c r="CR71" s="48">
        <v>16527.466666666664</v>
      </c>
      <c r="CS71" s="48">
        <v>16527.466666666664</v>
      </c>
      <c r="CT71" s="48">
        <v>16527.466666666664</v>
      </c>
      <c r="CU71" s="48">
        <v>16527.466666666664</v>
      </c>
      <c r="CV71" s="48">
        <v>16527.466666666664</v>
      </c>
      <c r="CW71" s="48">
        <v>16527.466666666664</v>
      </c>
      <c r="CX71" s="48">
        <v>16527.466666666664</v>
      </c>
      <c r="CY71" s="48">
        <v>16527.466666666664</v>
      </c>
      <c r="CZ71" s="48">
        <v>16527.466666666664</v>
      </c>
      <c r="DA71" s="48">
        <v>16527.466666666664</v>
      </c>
      <c r="DB71" s="48">
        <v>16527.466666666664</v>
      </c>
      <c r="DC71" s="49">
        <f t="shared" si="15"/>
        <v>16527.466666666664</v>
      </c>
      <c r="DD71" s="5">
        <f t="shared" si="22"/>
        <v>19</v>
      </c>
      <c r="DE71" s="30" cm="1">
        <f t="array" ref="DE71">1/2*(rf-q)*DD71*dt-1/2*(sigma^2)*(DD71^2)*dt</f>
        <v>-0.27163455410958898</v>
      </c>
      <c r="DF71" s="25">
        <f t="shared" si="17"/>
        <v>1.548595135616438</v>
      </c>
      <c r="DG71" s="6">
        <f t="shared" si="18"/>
        <v>-0.27669428013698627</v>
      </c>
      <c r="DH71" s="25">
        <f t="shared" si="20"/>
        <v>1.032094587571919E-8</v>
      </c>
      <c r="DI71">
        <v>16517.7705199253</v>
      </c>
      <c r="DJ71" s="27">
        <f t="shared" si="19"/>
        <v>16527.466666666664</v>
      </c>
    </row>
    <row r="72" spans="16:114" x14ac:dyDescent="0.25">
      <c r="W72" s="16">
        <f>MAX((X71*$C$15+X73*(1-$C$15))*EXP(-$C$9*$C$13),$C$8-W71)</f>
        <v>21831.891195405329</v>
      </c>
      <c r="X72" s="15">
        <f>W71*$C$14</f>
        <v>15550.105624707503</v>
      </c>
      <c r="Y72" s="16">
        <f>MAX((Z71*$C$15+Z73*(1-$C$15))*EXP(-$C$9*$C$13),$C$8-Y71)</f>
        <v>21831.891195405329</v>
      </c>
      <c r="Z72" s="15">
        <f>Y73/$C$14</f>
        <v>15550.105624707503</v>
      </c>
      <c r="AA72" s="16">
        <f>MAX((AB71*$C$15+AB73*(1-$C$15))*EXP(-$C$9*$C$13),$C$8-AA71)</f>
        <v>21831.891195405329</v>
      </c>
      <c r="AB72" s="15">
        <f>AA73/$C$14</f>
        <v>15550.105624707503</v>
      </c>
      <c r="AC72" s="16">
        <f>MAX((AD71*$C$15+AD73*(1-$C$15))*EXP(-$C$9*$C$13),$C$8-AC71)</f>
        <v>21831.891195405329</v>
      </c>
      <c r="AD72" s="15">
        <f>AC73/$C$14</f>
        <v>15550.105624707503</v>
      </c>
      <c r="AE72" s="16">
        <f>MAX((AF71*$C$15+AF73*(1-$C$15))*EXP(-$C$9*$C$13),$C$8-AE71)</f>
        <v>21831.891195405329</v>
      </c>
      <c r="AF72" s="15">
        <f>AE73/$C$14</f>
        <v>15550.105624707503</v>
      </c>
      <c r="AG72" s="16">
        <f>MAX((AH71*$C$15+AH73*(1-$C$15))*EXP(-$C$9*$C$13),$C$8-AG71)</f>
        <v>21831.891195405329</v>
      </c>
      <c r="AH72" s="15">
        <f>AG73/$C$14</f>
        <v>15550.105624707503</v>
      </c>
      <c r="AI72" s="16">
        <f>MAX((AJ71*$C$15+AJ73*(1-$C$15))*EXP(-$C$9*$C$13),$C$8-AI71)</f>
        <v>21831.891195405329</v>
      </c>
      <c r="AJ72" s="15">
        <f>AI73/$C$14</f>
        <v>15550.105624707503</v>
      </c>
      <c r="AK72" s="16">
        <f>MAX((AL71*$C$15+AL73*(1-$C$15))*EXP(-$C$9*$C$13),$C$8-AK71)</f>
        <v>21831.891195405329</v>
      </c>
      <c r="AL72" s="15">
        <f>AK73/$C$14</f>
        <v>15550.105624707503</v>
      </c>
      <c r="AM72" s="16">
        <f>MAX((AN71*$C$15+AN73*(1-$C$15))*EXP(-$C$9*$C$13),$C$8-AM71)</f>
        <v>21831.891195405329</v>
      </c>
      <c r="AN72" s="15">
        <f>AM73/$C$14</f>
        <v>15550.105624707503</v>
      </c>
      <c r="AO72" s="16">
        <f>MAX((AP71*$C$15+AP73*(1-$C$15))*EXP(-$C$9*$C$13),$C$8-AO71)</f>
        <v>21831.891195405329</v>
      </c>
      <c r="AP72" s="15">
        <f>AO73/$C$14</f>
        <v>15550.105624707503</v>
      </c>
      <c r="AQ72" s="16">
        <f>MAX((AR71*$C$15+AR73*(1-$C$15))*EXP(-$C$9*$C$13),$C$8-AQ71)</f>
        <v>21831.891195405329</v>
      </c>
      <c r="AR72" s="15">
        <f>AQ73/$C$14</f>
        <v>15550.105624707503</v>
      </c>
      <c r="AS72" s="16">
        <f>MAX((AT71*$C$15+AT73*(1-$C$15))*EXP(-$C$9*$C$13),$C$8-AS71)</f>
        <v>21831.891195405329</v>
      </c>
      <c r="AT72" s="15">
        <f>AS73/$C$14</f>
        <v>15550.105624707503</v>
      </c>
      <c r="AU72" s="16">
        <f>MAX((AV71*$C$15+AV73*(1-$C$15))*EXP(-$C$9*$C$13),$C$8-AU71)</f>
        <v>21831.891195405329</v>
      </c>
      <c r="AV72" s="15">
        <f>AU73/$C$14</f>
        <v>15550.105624707503</v>
      </c>
      <c r="AW72" s="16">
        <f>MAX((AX71*$C$15+AX73*(1-$C$15))*EXP(-$C$9*$C$13),$C$8-AW71)</f>
        <v>21831.891195405329</v>
      </c>
      <c r="AX72" s="15">
        <f>AW73/$C$14</f>
        <v>15550.105624707503</v>
      </c>
      <c r="AY72" s="16">
        <f>MAX((AZ71*$C$15+AZ73*(1-$C$15))*EXP(-$C$9*$C$13),$C$8-AY71)</f>
        <v>21831.891195405329</v>
      </c>
      <c r="AZ72" s="15">
        <f>AY73/$C$14</f>
        <v>15550.105624707503</v>
      </c>
      <c r="BA72" s="16">
        <f>MAX((BB71*$C$15+BB73*(1-$C$15))*EXP(-$C$9*$C$13),$C$8-BA71)</f>
        <v>21831.891195405329</v>
      </c>
      <c r="BB72" s="15">
        <f>BA73/$C$14</f>
        <v>15550.105624707503</v>
      </c>
      <c r="BD72" s="55">
        <f t="shared" si="21"/>
        <v>20342.4000000001</v>
      </c>
      <c r="BE72" s="48">
        <v>17657.599999999999</v>
      </c>
      <c r="BF72" s="48">
        <v>17657.599999999999</v>
      </c>
      <c r="BG72" s="48">
        <v>17657.599999999999</v>
      </c>
      <c r="BH72" s="48">
        <v>17657.599999999999</v>
      </c>
      <c r="BI72" s="48">
        <v>17657.599999999999</v>
      </c>
      <c r="BJ72" s="48">
        <v>17657.599999999999</v>
      </c>
      <c r="BK72" s="48">
        <v>17657.599999999999</v>
      </c>
      <c r="BL72" s="48">
        <v>17657.599999999999</v>
      </c>
      <c r="BM72" s="48">
        <v>17657.599999999999</v>
      </c>
      <c r="BN72" s="48">
        <v>17657.599999999999</v>
      </c>
      <c r="BO72" s="48">
        <v>17657.599999999999</v>
      </c>
      <c r="BP72" s="48">
        <v>17657.599999999999</v>
      </c>
      <c r="BQ72" s="48">
        <v>17657.599999999999</v>
      </c>
      <c r="BR72" s="48">
        <v>17657.599999999999</v>
      </c>
      <c r="BS72" s="48">
        <v>17657.599999999999</v>
      </c>
      <c r="BT72" s="48">
        <v>17657.599999999999</v>
      </c>
      <c r="BU72" s="48">
        <v>17657.599999999999</v>
      </c>
      <c r="BV72" s="48">
        <v>17657.599999999999</v>
      </c>
      <c r="BW72" s="48">
        <v>17657.599999999999</v>
      </c>
      <c r="BX72" s="48">
        <v>17657.599999999999</v>
      </c>
      <c r="BY72" s="48">
        <v>17657.599999999999</v>
      </c>
      <c r="BZ72" s="48">
        <v>17657.599999999999</v>
      </c>
      <c r="CA72" s="48">
        <v>17657.599999999999</v>
      </c>
      <c r="CB72" s="48">
        <v>17657.599999999999</v>
      </c>
      <c r="CC72" s="48">
        <v>17657.599999999999</v>
      </c>
      <c r="CD72" s="48">
        <v>17657.599999999999</v>
      </c>
      <c r="CE72" s="48">
        <v>17657.599999999999</v>
      </c>
      <c r="CF72" s="48">
        <v>17657.599999999999</v>
      </c>
      <c r="CG72" s="48">
        <v>17657.599999999999</v>
      </c>
      <c r="CH72" s="48">
        <v>17657.599999999999</v>
      </c>
      <c r="CI72" s="48">
        <v>17657.599999999999</v>
      </c>
      <c r="CJ72" s="48">
        <v>17657.599999999999</v>
      </c>
      <c r="CK72" s="48">
        <v>17657.599999999999</v>
      </c>
      <c r="CL72" s="48">
        <v>17657.599999999999</v>
      </c>
      <c r="CM72" s="48">
        <v>17657.599999999999</v>
      </c>
      <c r="CN72" s="48">
        <v>17657.599999999999</v>
      </c>
      <c r="CO72" s="48">
        <v>17657.599999999999</v>
      </c>
      <c r="CP72" s="48">
        <v>17657.599999999999</v>
      </c>
      <c r="CQ72" s="48">
        <v>17657.599999999999</v>
      </c>
      <c r="CR72" s="48">
        <v>17657.599999999999</v>
      </c>
      <c r="CS72" s="48">
        <v>17657.599999999999</v>
      </c>
      <c r="CT72" s="48">
        <v>17657.599999999999</v>
      </c>
      <c r="CU72" s="48">
        <v>17657.599999999999</v>
      </c>
      <c r="CV72" s="48">
        <v>17657.599999999999</v>
      </c>
      <c r="CW72" s="48">
        <v>17657.599999999999</v>
      </c>
      <c r="CX72" s="48">
        <v>17657.599999999999</v>
      </c>
      <c r="CY72" s="48">
        <v>17657.599999999999</v>
      </c>
      <c r="CZ72" s="48">
        <v>17657.599999999999</v>
      </c>
      <c r="DA72" s="48">
        <v>17657.599999999999</v>
      </c>
      <c r="DB72" s="48">
        <v>17657.599999999999</v>
      </c>
      <c r="DC72" s="49">
        <f t="shared" si="15"/>
        <v>17657.599999999999</v>
      </c>
      <c r="DD72" s="5">
        <f t="shared" si="22"/>
        <v>18</v>
      </c>
      <c r="DE72" s="30" cm="1">
        <f t="array" ref="DE72">1/2*(rf-q)*DD72*dt-1/2*(sigma^2)*(DD72^2)*dt</f>
        <v>-0.24366775068493146</v>
      </c>
      <c r="DF72" s="25">
        <f t="shared" si="17"/>
        <v>1.49239522739726</v>
      </c>
      <c r="DG72" s="6">
        <f t="shared" si="18"/>
        <v>-0.2484611753424657</v>
      </c>
      <c r="DH72" s="25">
        <f t="shared" si="20"/>
        <v>1.0360963642597198E-8</v>
      </c>
      <c r="DI72">
        <v>17647.555115695915</v>
      </c>
      <c r="DJ72" s="27">
        <f t="shared" si="19"/>
        <v>17657.599999999999</v>
      </c>
    </row>
    <row r="73" spans="16:114" x14ac:dyDescent="0.25">
      <c r="X73" s="16">
        <f>MAX((Y72*$C$15+Y74*(1-$C$15))*EXP(-$C$9*$C$13),$C$8-X72)</f>
        <v>22449.894375292497</v>
      </c>
      <c r="Y73" s="15">
        <f>X72*$C$14</f>
        <v>14955.724745669901</v>
      </c>
      <c r="Z73" s="16">
        <f>MAX((AA72*$C$15+AA74*(1-$C$15))*EXP(-$C$9*$C$13),$C$8-Z72)</f>
        <v>22449.894375292497</v>
      </c>
      <c r="AA73" s="15">
        <f>Z74/$C$14</f>
        <v>14955.724745669901</v>
      </c>
      <c r="AB73" s="16">
        <f>MAX((AC72*$C$15+AC74*(1-$C$15))*EXP(-$C$9*$C$13),$C$8-AB72)</f>
        <v>22449.894375292497</v>
      </c>
      <c r="AC73" s="15">
        <f>AB74/$C$14</f>
        <v>14955.724745669901</v>
      </c>
      <c r="AD73" s="16">
        <f>MAX((AE72*$C$15+AE74*(1-$C$15))*EXP(-$C$9*$C$13),$C$8-AD72)</f>
        <v>22449.894375292497</v>
      </c>
      <c r="AE73" s="15">
        <f>AD74/$C$14</f>
        <v>14955.724745669901</v>
      </c>
      <c r="AF73" s="16">
        <f>MAX((AG72*$C$15+AG74*(1-$C$15))*EXP(-$C$9*$C$13),$C$8-AF72)</f>
        <v>22449.894375292497</v>
      </c>
      <c r="AG73" s="15">
        <f>AF74/$C$14</f>
        <v>14955.724745669901</v>
      </c>
      <c r="AH73" s="16">
        <f>MAX((AI72*$C$15+AI74*(1-$C$15))*EXP(-$C$9*$C$13),$C$8-AH72)</f>
        <v>22449.894375292497</v>
      </c>
      <c r="AI73" s="15">
        <f>AH74/$C$14</f>
        <v>14955.724745669901</v>
      </c>
      <c r="AJ73" s="16">
        <f>MAX((AK72*$C$15+AK74*(1-$C$15))*EXP(-$C$9*$C$13),$C$8-AJ72)</f>
        <v>22449.894375292497</v>
      </c>
      <c r="AK73" s="15">
        <f>AJ74/$C$14</f>
        <v>14955.724745669901</v>
      </c>
      <c r="AL73" s="16">
        <f>MAX((AM72*$C$15+AM74*(1-$C$15))*EXP(-$C$9*$C$13),$C$8-AL72)</f>
        <v>22449.894375292497</v>
      </c>
      <c r="AM73" s="15">
        <f>AL74/$C$14</f>
        <v>14955.724745669901</v>
      </c>
      <c r="AN73" s="16">
        <f>MAX((AO72*$C$15+AO74*(1-$C$15))*EXP(-$C$9*$C$13),$C$8-AN72)</f>
        <v>22449.894375292497</v>
      </c>
      <c r="AO73" s="15">
        <f>AN74/$C$14</f>
        <v>14955.724745669901</v>
      </c>
      <c r="AP73" s="16">
        <f>MAX((AQ72*$C$15+AQ74*(1-$C$15))*EXP(-$C$9*$C$13),$C$8-AP72)</f>
        <v>22449.894375292497</v>
      </c>
      <c r="AQ73" s="15">
        <f>AP74/$C$14</f>
        <v>14955.724745669901</v>
      </c>
      <c r="AR73" s="16">
        <f>MAX((AS72*$C$15+AS74*(1-$C$15))*EXP(-$C$9*$C$13),$C$8-AR72)</f>
        <v>22449.894375292497</v>
      </c>
      <c r="AS73" s="15">
        <f>AR74/$C$14</f>
        <v>14955.724745669901</v>
      </c>
      <c r="AT73" s="16">
        <f>MAX((AU72*$C$15+AU74*(1-$C$15))*EXP(-$C$9*$C$13),$C$8-AT72)</f>
        <v>22449.894375292497</v>
      </c>
      <c r="AU73" s="15">
        <f>AT74/$C$14</f>
        <v>14955.724745669901</v>
      </c>
      <c r="AV73" s="16">
        <f>MAX((AW72*$C$15+AW74*(1-$C$15))*EXP(-$C$9*$C$13),$C$8-AV72)</f>
        <v>22449.894375292497</v>
      </c>
      <c r="AW73" s="15">
        <f>AV74/$C$14</f>
        <v>14955.724745669901</v>
      </c>
      <c r="AX73" s="16">
        <f>MAX((AY72*$C$15+AY74*(1-$C$15))*EXP(-$C$9*$C$13),$C$8-AX72)</f>
        <v>22449.894375292497</v>
      </c>
      <c r="AY73" s="15">
        <f>AX74/$C$14</f>
        <v>14955.724745669901</v>
      </c>
      <c r="AZ73" s="16">
        <f>MAX((BA72*$C$15+BA74*(1-$C$15))*EXP(-$C$9*$C$13),$C$8-AZ72)</f>
        <v>22449.894375292497</v>
      </c>
      <c r="BA73" s="15">
        <f>AZ74/$C$14</f>
        <v>14955.724745669901</v>
      </c>
      <c r="BB73" s="16">
        <f>MAX(0,$C$8-BB72)</f>
        <v>22449.894375292497</v>
      </c>
      <c r="BD73" s="55">
        <f t="shared" si="21"/>
        <v>19212.266666666765</v>
      </c>
      <c r="BE73" s="48">
        <v>18787.73333333333</v>
      </c>
      <c r="BF73" s="48">
        <v>18787.73333333333</v>
      </c>
      <c r="BG73" s="48">
        <v>18787.73333333333</v>
      </c>
      <c r="BH73" s="48">
        <v>18787.73333333333</v>
      </c>
      <c r="BI73" s="48">
        <v>18787.73333333333</v>
      </c>
      <c r="BJ73" s="48">
        <v>18787.73333333333</v>
      </c>
      <c r="BK73" s="48">
        <v>18787.73333333333</v>
      </c>
      <c r="BL73" s="48">
        <v>18787.73333333333</v>
      </c>
      <c r="BM73" s="48">
        <v>18787.73333333333</v>
      </c>
      <c r="BN73" s="48">
        <v>18787.73333333333</v>
      </c>
      <c r="BO73" s="48">
        <v>18787.73333333333</v>
      </c>
      <c r="BP73" s="48">
        <v>18787.73333333333</v>
      </c>
      <c r="BQ73" s="48">
        <v>18787.73333333333</v>
      </c>
      <c r="BR73" s="48">
        <v>18787.73333333333</v>
      </c>
      <c r="BS73" s="48">
        <v>18787.73333333333</v>
      </c>
      <c r="BT73" s="48">
        <v>18787.73333333333</v>
      </c>
      <c r="BU73" s="48">
        <v>18787.73333333333</v>
      </c>
      <c r="BV73" s="48">
        <v>18787.73333333333</v>
      </c>
      <c r="BW73" s="48">
        <v>18787.73333333333</v>
      </c>
      <c r="BX73" s="48">
        <v>18787.73333333333</v>
      </c>
      <c r="BY73" s="48">
        <v>18787.73333333333</v>
      </c>
      <c r="BZ73" s="48">
        <v>18787.73333333333</v>
      </c>
      <c r="CA73" s="48">
        <v>18787.73333333333</v>
      </c>
      <c r="CB73" s="48">
        <v>18787.73333333333</v>
      </c>
      <c r="CC73" s="48">
        <v>18787.73333333333</v>
      </c>
      <c r="CD73" s="48">
        <v>18787.73333333333</v>
      </c>
      <c r="CE73" s="48">
        <v>18787.73333333333</v>
      </c>
      <c r="CF73" s="48">
        <v>18787.73333333333</v>
      </c>
      <c r="CG73" s="48">
        <v>18787.73333333333</v>
      </c>
      <c r="CH73" s="48">
        <v>18787.73333333333</v>
      </c>
      <c r="CI73" s="48">
        <v>18787.73333333333</v>
      </c>
      <c r="CJ73" s="48">
        <v>18787.73333333333</v>
      </c>
      <c r="CK73" s="48">
        <v>18787.73333333333</v>
      </c>
      <c r="CL73" s="48">
        <v>18787.73333333333</v>
      </c>
      <c r="CM73" s="48">
        <v>18787.73333333333</v>
      </c>
      <c r="CN73" s="48">
        <v>18787.73333333333</v>
      </c>
      <c r="CO73" s="48">
        <v>18787.73333333333</v>
      </c>
      <c r="CP73" s="48">
        <v>18787.73333333333</v>
      </c>
      <c r="CQ73" s="48">
        <v>18787.73333333333</v>
      </c>
      <c r="CR73" s="48">
        <v>18787.73333333333</v>
      </c>
      <c r="CS73" s="48">
        <v>18787.73333333333</v>
      </c>
      <c r="CT73" s="48">
        <v>18787.73333333333</v>
      </c>
      <c r="CU73" s="48">
        <v>18787.73333333333</v>
      </c>
      <c r="CV73" s="48">
        <v>18787.73333333333</v>
      </c>
      <c r="CW73" s="48">
        <v>18787.73333333333</v>
      </c>
      <c r="CX73" s="48">
        <v>18787.73333333333</v>
      </c>
      <c r="CY73" s="48">
        <v>18787.73333333333</v>
      </c>
      <c r="CZ73" s="48">
        <v>18787.73333333333</v>
      </c>
      <c r="DA73" s="48">
        <v>18787.73333333333</v>
      </c>
      <c r="DB73" s="48">
        <v>18787.73333333333</v>
      </c>
      <c r="DC73" s="49">
        <f t="shared" si="15"/>
        <v>18787.73333333333</v>
      </c>
      <c r="DD73" s="5">
        <f t="shared" si="22"/>
        <v>17</v>
      </c>
      <c r="DE73" s="30" cm="1">
        <f t="array" ref="DE73">1/2*(rf-q)*DD73*dt-1/2*(sigma^2)*(DD73^2)*dt</f>
        <v>-0.21721986369863008</v>
      </c>
      <c r="DF73" s="25">
        <f t="shared" si="17"/>
        <v>1.4392331520547943</v>
      </c>
      <c r="DG73" s="6">
        <f t="shared" si="18"/>
        <v>-0.22174698698630133</v>
      </c>
      <c r="DH73" s="25">
        <f t="shared" si="20"/>
        <v>1.0357325663790107E-8</v>
      </c>
      <c r="DI73">
        <v>18777.627895382804</v>
      </c>
      <c r="DJ73" s="27">
        <f t="shared" si="19"/>
        <v>18787.73333333333</v>
      </c>
    </row>
    <row r="74" spans="16:114" x14ac:dyDescent="0.25">
      <c r="Y74" s="16">
        <f>MAX((Z73*$C$15+Z75*(1-$C$15))*EXP(-$C$9*$C$13),$C$8-Y73)</f>
        <v>23044.275254330099</v>
      </c>
      <c r="Z74" s="15">
        <f>Y73*$C$14</f>
        <v>14384.063238313232</v>
      </c>
      <c r="AA74" s="16">
        <f>MAX((AB73*$C$15+AB75*(1-$C$15))*EXP(-$C$9*$C$13),$C$8-AA73)</f>
        <v>23044.275254330099</v>
      </c>
      <c r="AB74" s="15">
        <f>AA75/$C$14</f>
        <v>14384.063238313232</v>
      </c>
      <c r="AC74" s="16">
        <f>MAX((AD73*$C$15+AD75*(1-$C$15))*EXP(-$C$9*$C$13),$C$8-AC73)</f>
        <v>23044.275254330099</v>
      </c>
      <c r="AD74" s="15">
        <f>AC75/$C$14</f>
        <v>14384.063238313232</v>
      </c>
      <c r="AE74" s="16">
        <f>MAX((AF73*$C$15+AF75*(1-$C$15))*EXP(-$C$9*$C$13),$C$8-AE73)</f>
        <v>23044.275254330099</v>
      </c>
      <c r="AF74" s="15">
        <f>AE75/$C$14</f>
        <v>14384.063238313232</v>
      </c>
      <c r="AG74" s="16">
        <f>MAX((AH73*$C$15+AH75*(1-$C$15))*EXP(-$C$9*$C$13),$C$8-AG73)</f>
        <v>23044.275254330099</v>
      </c>
      <c r="AH74" s="15">
        <f>AG75/$C$14</f>
        <v>14384.063238313232</v>
      </c>
      <c r="AI74" s="16">
        <f>MAX((AJ73*$C$15+AJ75*(1-$C$15))*EXP(-$C$9*$C$13),$C$8-AI73)</f>
        <v>23044.275254330099</v>
      </c>
      <c r="AJ74" s="15">
        <f>AI75/$C$14</f>
        <v>14384.063238313232</v>
      </c>
      <c r="AK74" s="16">
        <f>MAX((AL73*$C$15+AL75*(1-$C$15))*EXP(-$C$9*$C$13),$C$8-AK73)</f>
        <v>23044.275254330099</v>
      </c>
      <c r="AL74" s="15">
        <f>AK75/$C$14</f>
        <v>14384.063238313232</v>
      </c>
      <c r="AM74" s="16">
        <f>MAX((AN73*$C$15+AN75*(1-$C$15))*EXP(-$C$9*$C$13),$C$8-AM73)</f>
        <v>23044.275254330099</v>
      </c>
      <c r="AN74" s="15">
        <f>AM75/$C$14</f>
        <v>14384.063238313232</v>
      </c>
      <c r="AO74" s="16">
        <f>MAX((AP73*$C$15+AP75*(1-$C$15))*EXP(-$C$9*$C$13),$C$8-AO73)</f>
        <v>23044.275254330099</v>
      </c>
      <c r="AP74" s="15">
        <f>AO75/$C$14</f>
        <v>14384.063238313232</v>
      </c>
      <c r="AQ74" s="16">
        <f>MAX((AR73*$C$15+AR75*(1-$C$15))*EXP(-$C$9*$C$13),$C$8-AQ73)</f>
        <v>23044.275254330099</v>
      </c>
      <c r="AR74" s="15">
        <f>AQ75/$C$14</f>
        <v>14384.063238313232</v>
      </c>
      <c r="AS74" s="16">
        <f>MAX((AT73*$C$15+AT75*(1-$C$15))*EXP(-$C$9*$C$13),$C$8-AS73)</f>
        <v>23044.275254330099</v>
      </c>
      <c r="AT74" s="15">
        <f>AS75/$C$14</f>
        <v>14384.063238313232</v>
      </c>
      <c r="AU74" s="16">
        <f>MAX((AV73*$C$15+AV75*(1-$C$15))*EXP(-$C$9*$C$13),$C$8-AU73)</f>
        <v>23044.275254330099</v>
      </c>
      <c r="AV74" s="15">
        <f>AU75/$C$14</f>
        <v>14384.063238313232</v>
      </c>
      <c r="AW74" s="16">
        <f>MAX((AX73*$C$15+AX75*(1-$C$15))*EXP(-$C$9*$C$13),$C$8-AW73)</f>
        <v>23044.275254330099</v>
      </c>
      <c r="AX74" s="15">
        <f>AW75/$C$14</f>
        <v>14384.063238313232</v>
      </c>
      <c r="AY74" s="16">
        <f>MAX((AZ73*$C$15+AZ75*(1-$C$15))*EXP(-$C$9*$C$13),$C$8-AY73)</f>
        <v>23044.275254330099</v>
      </c>
      <c r="AZ74" s="15">
        <f>AY75/$C$14</f>
        <v>14384.063238313232</v>
      </c>
      <c r="BA74" s="16">
        <f>MAX((BB73*$C$15+BB75*(1-$C$15))*EXP(-$C$9*$C$13),$C$8-BA73)</f>
        <v>23044.275254330099</v>
      </c>
      <c r="BB74" s="15">
        <f>BA75/$C$14</f>
        <v>14384.063238313232</v>
      </c>
      <c r="BD74" s="55">
        <f t="shared" si="21"/>
        <v>18082.13333333343</v>
      </c>
      <c r="BE74" s="48">
        <v>19917.866666666665</v>
      </c>
      <c r="BF74" s="48">
        <v>19917.866666666665</v>
      </c>
      <c r="BG74" s="48">
        <v>19917.866666666665</v>
      </c>
      <c r="BH74" s="48">
        <v>19917.866666666665</v>
      </c>
      <c r="BI74" s="48">
        <v>19917.866666666665</v>
      </c>
      <c r="BJ74" s="48">
        <v>19917.866666666665</v>
      </c>
      <c r="BK74" s="48">
        <v>19917.866666666665</v>
      </c>
      <c r="BL74" s="48">
        <v>19917.866666666665</v>
      </c>
      <c r="BM74" s="48">
        <v>19917.866666666665</v>
      </c>
      <c r="BN74" s="48">
        <v>19917.866666666665</v>
      </c>
      <c r="BO74" s="48">
        <v>19917.866666666665</v>
      </c>
      <c r="BP74" s="48">
        <v>19917.866666666665</v>
      </c>
      <c r="BQ74" s="48">
        <v>19917.866666666665</v>
      </c>
      <c r="BR74" s="48">
        <v>19917.866666666665</v>
      </c>
      <c r="BS74" s="48">
        <v>19917.866666666665</v>
      </c>
      <c r="BT74" s="48">
        <v>19917.866666666665</v>
      </c>
      <c r="BU74" s="48">
        <v>19917.866666666665</v>
      </c>
      <c r="BV74" s="48">
        <v>19917.866666666665</v>
      </c>
      <c r="BW74" s="48">
        <v>19917.866666666665</v>
      </c>
      <c r="BX74" s="48">
        <v>19917.866666666665</v>
      </c>
      <c r="BY74" s="48">
        <v>19917.866666666665</v>
      </c>
      <c r="BZ74" s="48">
        <v>19917.866666666665</v>
      </c>
      <c r="CA74" s="48">
        <v>19917.866666666665</v>
      </c>
      <c r="CB74" s="48">
        <v>19917.866666666665</v>
      </c>
      <c r="CC74" s="48">
        <v>19917.866666666665</v>
      </c>
      <c r="CD74" s="48">
        <v>19917.866666666665</v>
      </c>
      <c r="CE74" s="48">
        <v>19917.866666666665</v>
      </c>
      <c r="CF74" s="48">
        <v>19917.866666666665</v>
      </c>
      <c r="CG74" s="48">
        <v>19917.866666666665</v>
      </c>
      <c r="CH74" s="48">
        <v>19917.866666666665</v>
      </c>
      <c r="CI74" s="48">
        <v>19917.866666666665</v>
      </c>
      <c r="CJ74" s="48">
        <v>19917.866666666665</v>
      </c>
      <c r="CK74" s="48">
        <v>19917.866666666665</v>
      </c>
      <c r="CL74" s="48">
        <v>19917.866666666665</v>
      </c>
      <c r="CM74" s="48">
        <v>19917.866666666665</v>
      </c>
      <c r="CN74" s="48">
        <v>19917.866666666665</v>
      </c>
      <c r="CO74" s="48">
        <v>19917.866666666665</v>
      </c>
      <c r="CP74" s="48">
        <v>19917.866666666665</v>
      </c>
      <c r="CQ74" s="48">
        <v>19917.866666666665</v>
      </c>
      <c r="CR74" s="48">
        <v>19917.866666666665</v>
      </c>
      <c r="CS74" s="48">
        <v>19917.866666666665</v>
      </c>
      <c r="CT74" s="48">
        <v>19917.866666666665</v>
      </c>
      <c r="CU74" s="48">
        <v>19917.866666666665</v>
      </c>
      <c r="CV74" s="48">
        <v>19917.866666666665</v>
      </c>
      <c r="CW74" s="48">
        <v>19917.866666666665</v>
      </c>
      <c r="CX74" s="48">
        <v>19917.866666666665</v>
      </c>
      <c r="CY74" s="48">
        <v>19917.866666666665</v>
      </c>
      <c r="CZ74" s="48">
        <v>19917.866666666665</v>
      </c>
      <c r="DA74" s="48">
        <v>19917.866666666665</v>
      </c>
      <c r="DB74" s="48">
        <v>19917.866666666665</v>
      </c>
      <c r="DC74" s="49">
        <f t="shared" si="15"/>
        <v>19917.866666666665</v>
      </c>
      <c r="DD74" s="5">
        <f t="shared" si="22"/>
        <v>16</v>
      </c>
      <c r="DE74" s="30" cm="1">
        <f t="array" ref="DE74">1/2*(rf-q)*DD74*dt-1/2*(sigma^2)*(DD74^2)*dt</f>
        <v>-0.19229089315068487</v>
      </c>
      <c r="DF74" s="25">
        <f t="shared" si="17"/>
        <v>1.389108909589041</v>
      </c>
      <c r="DG74" s="6">
        <f t="shared" si="18"/>
        <v>-0.19655171506849309</v>
      </c>
      <c r="DH74" s="25">
        <f t="shared" si="20"/>
        <v>1.4468241715803742E-8</v>
      </c>
      <c r="DI74">
        <v>19907.751539976471</v>
      </c>
      <c r="DJ74" s="27">
        <f t="shared" si="19"/>
        <v>19917.866666666665</v>
      </c>
    </row>
    <row r="75" spans="16:114" x14ac:dyDescent="0.25">
      <c r="Z75" s="16">
        <f>MAX((AA74*$C$15+AA76*(1-$C$15))*EXP(-$C$9*$C$13),$C$8-Z74)</f>
        <v>23615.936761686768</v>
      </c>
      <c r="AA75" s="15">
        <f>Z74*$C$14</f>
        <v>13834.252686664204</v>
      </c>
      <c r="AB75" s="16">
        <f>MAX((AC74*$C$15+AC76*(1-$C$15))*EXP(-$C$9*$C$13),$C$8-AB74)</f>
        <v>23615.936761686768</v>
      </c>
      <c r="AC75" s="15">
        <f>AB76/$C$14</f>
        <v>13834.252686664204</v>
      </c>
      <c r="AD75" s="16">
        <f>MAX((AE74*$C$15+AE76*(1-$C$15))*EXP(-$C$9*$C$13),$C$8-AD74)</f>
        <v>23615.936761686768</v>
      </c>
      <c r="AE75" s="15">
        <f>AD76/$C$14</f>
        <v>13834.252686664204</v>
      </c>
      <c r="AF75" s="16">
        <f>MAX((AG74*$C$15+AG76*(1-$C$15))*EXP(-$C$9*$C$13),$C$8-AF74)</f>
        <v>23615.936761686768</v>
      </c>
      <c r="AG75" s="15">
        <f>AF76/$C$14</f>
        <v>13834.252686664204</v>
      </c>
      <c r="AH75" s="16">
        <f>MAX((AI74*$C$15+AI76*(1-$C$15))*EXP(-$C$9*$C$13),$C$8-AH74)</f>
        <v>23615.936761686768</v>
      </c>
      <c r="AI75" s="15">
        <f>AH76/$C$14</f>
        <v>13834.252686664204</v>
      </c>
      <c r="AJ75" s="16">
        <f>MAX((AK74*$C$15+AK76*(1-$C$15))*EXP(-$C$9*$C$13),$C$8-AJ74)</f>
        <v>23615.936761686768</v>
      </c>
      <c r="AK75" s="15">
        <f>AJ76/$C$14</f>
        <v>13834.252686664204</v>
      </c>
      <c r="AL75" s="16">
        <f>MAX((AM74*$C$15+AM76*(1-$C$15))*EXP(-$C$9*$C$13),$C$8-AL74)</f>
        <v>23615.936761686768</v>
      </c>
      <c r="AM75" s="15">
        <f>AL76/$C$14</f>
        <v>13834.252686664204</v>
      </c>
      <c r="AN75" s="16">
        <f>MAX((AO74*$C$15+AO76*(1-$C$15))*EXP(-$C$9*$C$13),$C$8-AN74)</f>
        <v>23615.936761686768</v>
      </c>
      <c r="AO75" s="15">
        <f>AN76/$C$14</f>
        <v>13834.252686664204</v>
      </c>
      <c r="AP75" s="16">
        <f>MAX((AQ74*$C$15+AQ76*(1-$C$15))*EXP(-$C$9*$C$13),$C$8-AP74)</f>
        <v>23615.936761686768</v>
      </c>
      <c r="AQ75" s="15">
        <f>AP76/$C$14</f>
        <v>13834.252686664204</v>
      </c>
      <c r="AR75" s="16">
        <f>MAX((AS74*$C$15+AS76*(1-$C$15))*EXP(-$C$9*$C$13),$C$8-AR74)</f>
        <v>23615.936761686768</v>
      </c>
      <c r="AS75" s="15">
        <f>AR76/$C$14</f>
        <v>13834.252686664204</v>
      </c>
      <c r="AT75" s="16">
        <f>MAX((AU74*$C$15+AU76*(1-$C$15))*EXP(-$C$9*$C$13),$C$8-AT74)</f>
        <v>23615.936761686768</v>
      </c>
      <c r="AU75" s="15">
        <f>AT76/$C$14</f>
        <v>13834.252686664204</v>
      </c>
      <c r="AV75" s="16">
        <f>MAX((AW74*$C$15+AW76*(1-$C$15))*EXP(-$C$9*$C$13),$C$8-AV74)</f>
        <v>23615.936761686768</v>
      </c>
      <c r="AW75" s="15">
        <f>AV76/$C$14</f>
        <v>13834.252686664204</v>
      </c>
      <c r="AX75" s="16">
        <f>MAX((AY74*$C$15+AY76*(1-$C$15))*EXP(-$C$9*$C$13),$C$8-AX74)</f>
        <v>23615.936761686768</v>
      </c>
      <c r="AY75" s="15">
        <f>AX76/$C$14</f>
        <v>13834.252686664204</v>
      </c>
      <c r="AZ75" s="16">
        <f>MAX((BA74*$C$15+BA76*(1-$C$15))*EXP(-$C$9*$C$13),$C$8-AZ74)</f>
        <v>23615.936761686768</v>
      </c>
      <c r="BA75" s="15">
        <f>AZ76/$C$14</f>
        <v>13834.252686664204</v>
      </c>
      <c r="BB75" s="16">
        <f>MAX(0,$C$8-BB74)</f>
        <v>23615.936761686768</v>
      </c>
      <c r="BD75" s="55">
        <f t="shared" si="21"/>
        <v>16952.000000000095</v>
      </c>
      <c r="BE75" s="48">
        <v>21048</v>
      </c>
      <c r="BF75" s="48">
        <v>21048</v>
      </c>
      <c r="BG75" s="48">
        <v>21048</v>
      </c>
      <c r="BH75" s="48">
        <v>21048</v>
      </c>
      <c r="BI75" s="48">
        <v>21048</v>
      </c>
      <c r="BJ75" s="48">
        <v>21048</v>
      </c>
      <c r="BK75" s="48">
        <v>21048</v>
      </c>
      <c r="BL75" s="48">
        <v>21048</v>
      </c>
      <c r="BM75" s="48">
        <v>21048</v>
      </c>
      <c r="BN75" s="48">
        <v>21048</v>
      </c>
      <c r="BO75" s="48">
        <v>21048</v>
      </c>
      <c r="BP75" s="48">
        <v>21048</v>
      </c>
      <c r="BQ75" s="48">
        <v>21048</v>
      </c>
      <c r="BR75" s="48">
        <v>21048</v>
      </c>
      <c r="BS75" s="48">
        <v>21048</v>
      </c>
      <c r="BT75" s="48">
        <v>21048</v>
      </c>
      <c r="BU75" s="48">
        <v>21048</v>
      </c>
      <c r="BV75" s="48">
        <v>21048</v>
      </c>
      <c r="BW75" s="48">
        <v>21048</v>
      </c>
      <c r="BX75" s="48">
        <v>21048</v>
      </c>
      <c r="BY75" s="48">
        <v>21048</v>
      </c>
      <c r="BZ75" s="48">
        <v>21048</v>
      </c>
      <c r="CA75" s="48">
        <v>21048</v>
      </c>
      <c r="CB75" s="48">
        <v>21048</v>
      </c>
      <c r="CC75" s="48">
        <v>21048</v>
      </c>
      <c r="CD75" s="48">
        <v>21048</v>
      </c>
      <c r="CE75" s="48">
        <v>21048</v>
      </c>
      <c r="CF75" s="48">
        <v>21048</v>
      </c>
      <c r="CG75" s="48">
        <v>21048</v>
      </c>
      <c r="CH75" s="48">
        <v>21048</v>
      </c>
      <c r="CI75" s="48">
        <v>21048</v>
      </c>
      <c r="CJ75" s="48">
        <v>21048</v>
      </c>
      <c r="CK75" s="48">
        <v>21048</v>
      </c>
      <c r="CL75" s="48">
        <v>21048</v>
      </c>
      <c r="CM75" s="48">
        <v>21048</v>
      </c>
      <c r="CN75" s="48">
        <v>21048</v>
      </c>
      <c r="CO75" s="48">
        <v>21048</v>
      </c>
      <c r="CP75" s="48">
        <v>21048</v>
      </c>
      <c r="CQ75" s="48">
        <v>21048</v>
      </c>
      <c r="CR75" s="48">
        <v>21048</v>
      </c>
      <c r="CS75" s="48">
        <v>21048</v>
      </c>
      <c r="CT75" s="48">
        <v>21048</v>
      </c>
      <c r="CU75" s="48">
        <v>21048</v>
      </c>
      <c r="CV75" s="48">
        <v>21048</v>
      </c>
      <c r="CW75" s="48">
        <v>21048</v>
      </c>
      <c r="CX75" s="48">
        <v>21048</v>
      </c>
      <c r="CY75" s="48">
        <v>21048</v>
      </c>
      <c r="CZ75" s="48">
        <v>21048</v>
      </c>
      <c r="DA75" s="48">
        <v>21048</v>
      </c>
      <c r="DB75" s="48">
        <v>21048</v>
      </c>
      <c r="DC75" s="49">
        <f t="shared" si="15"/>
        <v>21048</v>
      </c>
      <c r="DD75" s="5">
        <f t="shared" si="22"/>
        <v>15</v>
      </c>
      <c r="DE75" s="30" cm="1">
        <f t="array" ref="DE75">1/2*(rf-q)*DD75*dt-1/2*(sigma^2)*(DD75^2)*dt</f>
        <v>-0.16888083904109585</v>
      </c>
      <c r="DF75" s="25">
        <f t="shared" si="17"/>
        <v>1.3420224999999999</v>
      </c>
      <c r="DG75" s="6">
        <f t="shared" si="18"/>
        <v>-0.17287535958904107</v>
      </c>
      <c r="DH75" s="25">
        <f t="shared" si="20"/>
        <v>1.4479155652225018E-8</v>
      </c>
      <c r="DI75">
        <v>21037.883455352057</v>
      </c>
      <c r="DJ75" s="27">
        <f t="shared" si="19"/>
        <v>21048</v>
      </c>
    </row>
    <row r="76" spans="16:114" x14ac:dyDescent="0.25">
      <c r="AA76" s="16">
        <f>MAX((AB75*$C$15+AB77*(1-$C$15))*EXP(-$C$9*$C$13),$C$8-AA75)</f>
        <v>24165.747313335796</v>
      </c>
      <c r="AB76" s="15">
        <f>AA75*$C$14</f>
        <v>13305.457868726595</v>
      </c>
      <c r="AC76" s="16">
        <f>MAX((AD75*$C$15+AD77*(1-$C$15))*EXP(-$C$9*$C$13),$C$8-AC75)</f>
        <v>24165.747313335796</v>
      </c>
      <c r="AD76" s="15">
        <f>AC77/$C$14</f>
        <v>13305.457868726595</v>
      </c>
      <c r="AE76" s="16">
        <f>MAX((AF75*$C$15+AF77*(1-$C$15))*EXP(-$C$9*$C$13),$C$8-AE75)</f>
        <v>24165.747313335796</v>
      </c>
      <c r="AF76" s="15">
        <f>AE77/$C$14</f>
        <v>13305.457868726595</v>
      </c>
      <c r="AG76" s="16">
        <f>MAX((AH75*$C$15+AH77*(1-$C$15))*EXP(-$C$9*$C$13),$C$8-AG75)</f>
        <v>24165.747313335796</v>
      </c>
      <c r="AH76" s="15">
        <f>AG77/$C$14</f>
        <v>13305.457868726595</v>
      </c>
      <c r="AI76" s="16">
        <f>MAX((AJ75*$C$15+AJ77*(1-$C$15))*EXP(-$C$9*$C$13),$C$8-AI75)</f>
        <v>24165.747313335796</v>
      </c>
      <c r="AJ76" s="15">
        <f>AI77/$C$14</f>
        <v>13305.457868726595</v>
      </c>
      <c r="AK76" s="16">
        <f>MAX((AL75*$C$15+AL77*(1-$C$15))*EXP(-$C$9*$C$13),$C$8-AK75)</f>
        <v>24165.747313335796</v>
      </c>
      <c r="AL76" s="15">
        <f>AK77/$C$14</f>
        <v>13305.457868726595</v>
      </c>
      <c r="AM76" s="16">
        <f>MAX((AN75*$C$15+AN77*(1-$C$15))*EXP(-$C$9*$C$13),$C$8-AM75)</f>
        <v>24165.747313335796</v>
      </c>
      <c r="AN76" s="15">
        <f>AM77/$C$14</f>
        <v>13305.457868726595</v>
      </c>
      <c r="AO76" s="16">
        <f>MAX((AP75*$C$15+AP77*(1-$C$15))*EXP(-$C$9*$C$13),$C$8-AO75)</f>
        <v>24165.747313335796</v>
      </c>
      <c r="AP76" s="15">
        <f>AO77/$C$14</f>
        <v>13305.457868726595</v>
      </c>
      <c r="AQ76" s="16">
        <f>MAX((AR75*$C$15+AR77*(1-$C$15))*EXP(-$C$9*$C$13),$C$8-AQ75)</f>
        <v>24165.747313335796</v>
      </c>
      <c r="AR76" s="15">
        <f>AQ77/$C$14</f>
        <v>13305.457868726595</v>
      </c>
      <c r="AS76" s="16">
        <f>MAX((AT75*$C$15+AT77*(1-$C$15))*EXP(-$C$9*$C$13),$C$8-AS75)</f>
        <v>24165.747313335796</v>
      </c>
      <c r="AT76" s="15">
        <f>AS77/$C$14</f>
        <v>13305.457868726595</v>
      </c>
      <c r="AU76" s="16">
        <f>MAX((AV75*$C$15+AV77*(1-$C$15))*EXP(-$C$9*$C$13),$C$8-AU75)</f>
        <v>24165.747313335796</v>
      </c>
      <c r="AV76" s="15">
        <f>AU77/$C$14</f>
        <v>13305.457868726595</v>
      </c>
      <c r="AW76" s="16">
        <f>MAX((AX75*$C$15+AX77*(1-$C$15))*EXP(-$C$9*$C$13),$C$8-AW75)</f>
        <v>24165.747313335796</v>
      </c>
      <c r="AX76" s="15">
        <f>AW77/$C$14</f>
        <v>13305.457868726595</v>
      </c>
      <c r="AY76" s="16">
        <f>MAX((AZ75*$C$15+AZ77*(1-$C$15))*EXP(-$C$9*$C$13),$C$8-AY75)</f>
        <v>24165.747313335796</v>
      </c>
      <c r="AZ76" s="15">
        <f>AY77/$C$14</f>
        <v>13305.457868726595</v>
      </c>
      <c r="BA76" s="16">
        <f>MAX((BB75*$C$15+BB77*(1-$C$15))*EXP(-$C$9*$C$13),$C$8-BA75)</f>
        <v>24165.747313335796</v>
      </c>
      <c r="BB76" s="15">
        <f>BA77/$C$14</f>
        <v>13305.457868726595</v>
      </c>
      <c r="BD76" s="55">
        <f t="shared" si="21"/>
        <v>15821.866666666761</v>
      </c>
      <c r="BE76" s="48">
        <v>22178.133333333331</v>
      </c>
      <c r="BF76" s="48">
        <v>22178.133333333331</v>
      </c>
      <c r="BG76" s="48">
        <v>22178.133333333331</v>
      </c>
      <c r="BH76" s="48">
        <v>22178.133333333331</v>
      </c>
      <c r="BI76" s="48">
        <v>22178.133333333331</v>
      </c>
      <c r="BJ76" s="48">
        <v>22178.133333333331</v>
      </c>
      <c r="BK76" s="48">
        <v>22178.133333333331</v>
      </c>
      <c r="BL76" s="48">
        <v>22178.133333333331</v>
      </c>
      <c r="BM76" s="48">
        <v>22178.133333333331</v>
      </c>
      <c r="BN76" s="48">
        <v>22178.133333333331</v>
      </c>
      <c r="BO76" s="48">
        <v>22178.133333333331</v>
      </c>
      <c r="BP76" s="48">
        <v>22178.133333333331</v>
      </c>
      <c r="BQ76" s="48">
        <v>22178.133333333331</v>
      </c>
      <c r="BR76" s="48">
        <v>22178.133333333331</v>
      </c>
      <c r="BS76" s="48">
        <v>22178.133333333331</v>
      </c>
      <c r="BT76" s="48">
        <v>22178.133333333331</v>
      </c>
      <c r="BU76" s="48">
        <v>22178.133333333331</v>
      </c>
      <c r="BV76" s="48">
        <v>22178.133333333331</v>
      </c>
      <c r="BW76" s="48">
        <v>22178.133333333331</v>
      </c>
      <c r="BX76" s="48">
        <v>22178.133333333331</v>
      </c>
      <c r="BY76" s="48">
        <v>22178.133333333331</v>
      </c>
      <c r="BZ76" s="48">
        <v>22178.133333333331</v>
      </c>
      <c r="CA76" s="48">
        <v>22178.133333333331</v>
      </c>
      <c r="CB76" s="48">
        <v>22178.133333333331</v>
      </c>
      <c r="CC76" s="48">
        <v>22178.133333333331</v>
      </c>
      <c r="CD76" s="48">
        <v>22178.133333333331</v>
      </c>
      <c r="CE76" s="48">
        <v>22178.133333333331</v>
      </c>
      <c r="CF76" s="48">
        <v>22178.133333333331</v>
      </c>
      <c r="CG76" s="48">
        <v>22178.133333333331</v>
      </c>
      <c r="CH76" s="48">
        <v>22178.133333333331</v>
      </c>
      <c r="CI76" s="48">
        <v>22178.133333333331</v>
      </c>
      <c r="CJ76" s="48">
        <v>22178.133333333331</v>
      </c>
      <c r="CK76" s="48">
        <v>22178.133333333331</v>
      </c>
      <c r="CL76" s="48">
        <v>22178.133333333331</v>
      </c>
      <c r="CM76" s="48">
        <v>22178.133333333331</v>
      </c>
      <c r="CN76" s="48">
        <v>22178.133333333331</v>
      </c>
      <c r="CO76" s="48">
        <v>22178.133333333331</v>
      </c>
      <c r="CP76" s="48">
        <v>22178.133333333331</v>
      </c>
      <c r="CQ76" s="48">
        <v>22178.133333333331</v>
      </c>
      <c r="CR76" s="48">
        <v>22178.133333333331</v>
      </c>
      <c r="CS76" s="48">
        <v>22178.133333333331</v>
      </c>
      <c r="CT76" s="48">
        <v>22178.133333333331</v>
      </c>
      <c r="CU76" s="48">
        <v>22178.133333333331</v>
      </c>
      <c r="CV76" s="48">
        <v>22178.133333333331</v>
      </c>
      <c r="CW76" s="48">
        <v>22178.133333333331</v>
      </c>
      <c r="CX76" s="48">
        <v>22178.133333333331</v>
      </c>
      <c r="CY76" s="48">
        <v>22178.133333333331</v>
      </c>
      <c r="CZ76" s="48">
        <v>22178.133333333331</v>
      </c>
      <c r="DA76" s="48">
        <v>22178.133333333331</v>
      </c>
      <c r="DB76" s="48">
        <v>22178.133333333331</v>
      </c>
      <c r="DC76" s="49">
        <f t="shared" si="15"/>
        <v>22178.133333333331</v>
      </c>
      <c r="DD76" s="5">
        <f t="shared" si="22"/>
        <v>14</v>
      </c>
      <c r="DE76" s="30" cm="1">
        <f t="array" ref="DE76">1/2*(rf-q)*DD76*dt-1/2*(sigma^2)*(DD76^2)*dt</f>
        <v>-0.14698970136986297</v>
      </c>
      <c r="DF76" s="25">
        <f t="shared" si="17"/>
        <v>1.297973923287671</v>
      </c>
      <c r="DG76" s="6">
        <f t="shared" si="18"/>
        <v>-0.15071792054794517</v>
      </c>
      <c r="DH76" s="25">
        <f t="shared" si="20"/>
        <v>1.4479155652225018E-8</v>
      </c>
      <c r="DI76">
        <v>22168.016600462266</v>
      </c>
      <c r="DJ76" s="27">
        <f t="shared" si="19"/>
        <v>22178.133333333331</v>
      </c>
    </row>
    <row r="77" spans="16:114" x14ac:dyDescent="0.25">
      <c r="AB77" s="16">
        <f>MAX((AC76*$C$15+AC78*(1-$C$15))*EXP(-$C$9*$C$13),$C$8-AB76)</f>
        <v>24694.542131273403</v>
      </c>
      <c r="AC77" s="15">
        <f>AB76*$C$14</f>
        <v>12796.87548768825</v>
      </c>
      <c r="AD77" s="16">
        <f>MAX((AE76*$C$15+AE78*(1-$C$15))*EXP(-$C$9*$C$13),$C$8-AD76)</f>
        <v>24694.542131273403</v>
      </c>
      <c r="AE77" s="15">
        <f>AD78/$C$14</f>
        <v>12796.87548768825</v>
      </c>
      <c r="AF77" s="16">
        <f>MAX((AG76*$C$15+AG78*(1-$C$15))*EXP(-$C$9*$C$13),$C$8-AF76)</f>
        <v>24694.542131273403</v>
      </c>
      <c r="AG77" s="15">
        <f>AF78/$C$14</f>
        <v>12796.87548768825</v>
      </c>
      <c r="AH77" s="16">
        <f>MAX((AI76*$C$15+AI78*(1-$C$15))*EXP(-$C$9*$C$13),$C$8-AH76)</f>
        <v>24694.542131273403</v>
      </c>
      <c r="AI77" s="15">
        <f>AH78/$C$14</f>
        <v>12796.87548768825</v>
      </c>
      <c r="AJ77" s="16">
        <f>MAX((AK76*$C$15+AK78*(1-$C$15))*EXP(-$C$9*$C$13),$C$8-AJ76)</f>
        <v>24694.542131273403</v>
      </c>
      <c r="AK77" s="15">
        <f>AJ78/$C$14</f>
        <v>12796.87548768825</v>
      </c>
      <c r="AL77" s="16">
        <f>MAX((AM76*$C$15+AM78*(1-$C$15))*EXP(-$C$9*$C$13),$C$8-AL76)</f>
        <v>24694.542131273403</v>
      </c>
      <c r="AM77" s="15">
        <f>AL78/$C$14</f>
        <v>12796.87548768825</v>
      </c>
      <c r="AN77" s="16">
        <f>MAX((AO76*$C$15+AO78*(1-$C$15))*EXP(-$C$9*$C$13),$C$8-AN76)</f>
        <v>24694.542131273403</v>
      </c>
      <c r="AO77" s="15">
        <f>AN78/$C$14</f>
        <v>12796.87548768825</v>
      </c>
      <c r="AP77" s="16">
        <f>MAX((AQ76*$C$15+AQ78*(1-$C$15))*EXP(-$C$9*$C$13),$C$8-AP76)</f>
        <v>24694.542131273403</v>
      </c>
      <c r="AQ77" s="15">
        <f>AP78/$C$14</f>
        <v>12796.87548768825</v>
      </c>
      <c r="AR77" s="16">
        <f>MAX((AS76*$C$15+AS78*(1-$C$15))*EXP(-$C$9*$C$13),$C$8-AR76)</f>
        <v>24694.542131273403</v>
      </c>
      <c r="AS77" s="15">
        <f>AR78/$C$14</f>
        <v>12796.87548768825</v>
      </c>
      <c r="AT77" s="16">
        <f>MAX((AU76*$C$15+AU78*(1-$C$15))*EXP(-$C$9*$C$13),$C$8-AT76)</f>
        <v>24694.542131273403</v>
      </c>
      <c r="AU77" s="15">
        <f>AT78/$C$14</f>
        <v>12796.87548768825</v>
      </c>
      <c r="AV77" s="16">
        <f>MAX((AW76*$C$15+AW78*(1-$C$15))*EXP(-$C$9*$C$13),$C$8-AV76)</f>
        <v>24694.542131273403</v>
      </c>
      <c r="AW77" s="15">
        <f>AV78/$C$14</f>
        <v>12796.87548768825</v>
      </c>
      <c r="AX77" s="16">
        <f>MAX((AY76*$C$15+AY78*(1-$C$15))*EXP(-$C$9*$C$13),$C$8-AX76)</f>
        <v>24694.542131273403</v>
      </c>
      <c r="AY77" s="15">
        <f>AX78/$C$14</f>
        <v>12796.87548768825</v>
      </c>
      <c r="AZ77" s="16">
        <f>MAX((BA76*$C$15+BA78*(1-$C$15))*EXP(-$C$9*$C$13),$C$8-AZ76)</f>
        <v>24694.542131273403</v>
      </c>
      <c r="BA77" s="15">
        <f>AZ78/$C$14</f>
        <v>12796.87548768825</v>
      </c>
      <c r="BB77" s="16">
        <f>MAX(0,$C$8-BB76)</f>
        <v>24694.542131273403</v>
      </c>
      <c r="BD77" s="55">
        <f t="shared" si="21"/>
        <v>14691.733333333428</v>
      </c>
      <c r="BE77" s="48">
        <v>23308.266666666663</v>
      </c>
      <c r="BF77" s="48">
        <v>23308.266666666663</v>
      </c>
      <c r="BG77" s="48">
        <v>23308.266666666663</v>
      </c>
      <c r="BH77" s="48">
        <v>23308.266666666663</v>
      </c>
      <c r="BI77" s="48">
        <v>23308.266666666663</v>
      </c>
      <c r="BJ77" s="48">
        <v>23308.266666666663</v>
      </c>
      <c r="BK77" s="48">
        <v>23308.266666666663</v>
      </c>
      <c r="BL77" s="48">
        <v>23308.266666666663</v>
      </c>
      <c r="BM77" s="48">
        <v>23308.266666666663</v>
      </c>
      <c r="BN77" s="48">
        <v>23308.266666666663</v>
      </c>
      <c r="BO77" s="48">
        <v>23308.266666666663</v>
      </c>
      <c r="BP77" s="48">
        <v>23308.266666666663</v>
      </c>
      <c r="BQ77" s="48">
        <v>23308.266666666663</v>
      </c>
      <c r="BR77" s="48">
        <v>23308.266666666663</v>
      </c>
      <c r="BS77" s="48">
        <v>23308.266666666663</v>
      </c>
      <c r="BT77" s="48">
        <v>23308.266666666663</v>
      </c>
      <c r="BU77" s="48">
        <v>23308.266666666663</v>
      </c>
      <c r="BV77" s="48">
        <v>23308.266666666663</v>
      </c>
      <c r="BW77" s="48">
        <v>23308.266666666663</v>
      </c>
      <c r="BX77" s="48">
        <v>23308.266666666663</v>
      </c>
      <c r="BY77" s="48">
        <v>23308.266666666663</v>
      </c>
      <c r="BZ77" s="48">
        <v>23308.266666666663</v>
      </c>
      <c r="CA77" s="48">
        <v>23308.266666666663</v>
      </c>
      <c r="CB77" s="48">
        <v>23308.266666666663</v>
      </c>
      <c r="CC77" s="48">
        <v>23308.266666666663</v>
      </c>
      <c r="CD77" s="48">
        <v>23308.266666666663</v>
      </c>
      <c r="CE77" s="48">
        <v>23308.266666666663</v>
      </c>
      <c r="CF77" s="48">
        <v>23308.266666666663</v>
      </c>
      <c r="CG77" s="48">
        <v>23308.266666666663</v>
      </c>
      <c r="CH77" s="48">
        <v>23308.266666666663</v>
      </c>
      <c r="CI77" s="48">
        <v>23308.266666666663</v>
      </c>
      <c r="CJ77" s="48">
        <v>23308.266666666663</v>
      </c>
      <c r="CK77" s="48">
        <v>23308.266666666663</v>
      </c>
      <c r="CL77" s="48">
        <v>23308.266666666663</v>
      </c>
      <c r="CM77" s="48">
        <v>23308.266666666663</v>
      </c>
      <c r="CN77" s="48">
        <v>23308.266666666663</v>
      </c>
      <c r="CO77" s="48">
        <v>23308.266666666663</v>
      </c>
      <c r="CP77" s="48">
        <v>23308.266666666663</v>
      </c>
      <c r="CQ77" s="48">
        <v>23308.266666666663</v>
      </c>
      <c r="CR77" s="48">
        <v>23308.266666666663</v>
      </c>
      <c r="CS77" s="48">
        <v>23308.266666666663</v>
      </c>
      <c r="CT77" s="48">
        <v>23308.266666666663</v>
      </c>
      <c r="CU77" s="48">
        <v>23308.266666666663</v>
      </c>
      <c r="CV77" s="48">
        <v>23308.266666666663</v>
      </c>
      <c r="CW77" s="48">
        <v>23308.266666666663</v>
      </c>
      <c r="CX77" s="48">
        <v>23308.266666666663</v>
      </c>
      <c r="CY77" s="48">
        <v>23308.266666666663</v>
      </c>
      <c r="CZ77" s="48">
        <v>23308.266666666663</v>
      </c>
      <c r="DA77" s="48">
        <v>23308.266666666663</v>
      </c>
      <c r="DB77" s="48">
        <v>23308.266666666663</v>
      </c>
      <c r="DC77" s="49">
        <f t="shared" si="15"/>
        <v>23308.266666666663</v>
      </c>
      <c r="DD77" s="5">
        <f t="shared" si="22"/>
        <v>13</v>
      </c>
      <c r="DE77" s="30" cm="1">
        <f t="array" ref="DE77">1/2*(rf-q)*DD77*dt-1/2*(sigma^2)*(DD77^2)*dt</f>
        <v>-0.12661748013698626</v>
      </c>
      <c r="DF77" s="25">
        <f t="shared" si="17"/>
        <v>1.2569631794520546</v>
      </c>
      <c r="DG77" s="6">
        <f t="shared" si="18"/>
        <v>-0.13007939794520545</v>
      </c>
      <c r="DH77" s="25">
        <f t="shared" si="20"/>
        <v>1.4468241715803742E-8</v>
      </c>
      <c r="DI77">
        <v>23298.149911350683</v>
      </c>
      <c r="DJ77" s="27">
        <f t="shared" si="19"/>
        <v>23308.266666666663</v>
      </c>
    </row>
    <row r="78" spans="16:114" x14ac:dyDescent="0.25">
      <c r="AC78" s="16">
        <f>MAX((AD77*$C$15+AD79*(1-$C$15))*EXP(-$C$9*$C$13),$C$8-AC77)</f>
        <v>25203.124512311748</v>
      </c>
      <c r="AD78" s="15">
        <f>AC77*$C$14</f>
        <v>12307.732951625898</v>
      </c>
      <c r="AE78" s="16">
        <f>MAX((AF77*$C$15+AF79*(1-$C$15))*EXP(-$C$9*$C$13),$C$8-AE77)</f>
        <v>25203.124512311748</v>
      </c>
      <c r="AF78" s="15">
        <f>AE79/$C$14</f>
        <v>12307.732951625898</v>
      </c>
      <c r="AG78" s="16">
        <f>MAX((AH77*$C$15+AH79*(1-$C$15))*EXP(-$C$9*$C$13),$C$8-AG77)</f>
        <v>25203.124512311748</v>
      </c>
      <c r="AH78" s="15">
        <f>AG79/$C$14</f>
        <v>12307.732951625898</v>
      </c>
      <c r="AI78" s="16">
        <f>MAX((AJ77*$C$15+AJ79*(1-$C$15))*EXP(-$C$9*$C$13),$C$8-AI77)</f>
        <v>25203.124512311748</v>
      </c>
      <c r="AJ78" s="15">
        <f>AI79/$C$14</f>
        <v>12307.732951625898</v>
      </c>
      <c r="AK78" s="16">
        <f>MAX((AL77*$C$15+AL79*(1-$C$15))*EXP(-$C$9*$C$13),$C$8-AK77)</f>
        <v>25203.124512311748</v>
      </c>
      <c r="AL78" s="15">
        <f>AK79/$C$14</f>
        <v>12307.732951625898</v>
      </c>
      <c r="AM78" s="16">
        <f>MAX((AN77*$C$15+AN79*(1-$C$15))*EXP(-$C$9*$C$13),$C$8-AM77)</f>
        <v>25203.124512311748</v>
      </c>
      <c r="AN78" s="15">
        <f>AM79/$C$14</f>
        <v>12307.732951625898</v>
      </c>
      <c r="AO78" s="16">
        <f>MAX((AP77*$C$15+AP79*(1-$C$15))*EXP(-$C$9*$C$13),$C$8-AO77)</f>
        <v>25203.124512311748</v>
      </c>
      <c r="AP78" s="15">
        <f>AO79/$C$14</f>
        <v>12307.732951625898</v>
      </c>
      <c r="AQ78" s="16">
        <f>MAX((AR77*$C$15+AR79*(1-$C$15))*EXP(-$C$9*$C$13),$C$8-AQ77)</f>
        <v>25203.124512311748</v>
      </c>
      <c r="AR78" s="15">
        <f>AQ79/$C$14</f>
        <v>12307.732951625898</v>
      </c>
      <c r="AS78" s="16">
        <f>MAX((AT77*$C$15+AT79*(1-$C$15))*EXP(-$C$9*$C$13),$C$8-AS77)</f>
        <v>25203.124512311748</v>
      </c>
      <c r="AT78" s="15">
        <f>AS79/$C$14</f>
        <v>12307.732951625898</v>
      </c>
      <c r="AU78" s="16">
        <f>MAX((AV77*$C$15+AV79*(1-$C$15))*EXP(-$C$9*$C$13),$C$8-AU77)</f>
        <v>25203.124512311748</v>
      </c>
      <c r="AV78" s="15">
        <f>AU79/$C$14</f>
        <v>12307.732951625898</v>
      </c>
      <c r="AW78" s="16">
        <f>MAX((AX77*$C$15+AX79*(1-$C$15))*EXP(-$C$9*$C$13),$C$8-AW77)</f>
        <v>25203.124512311748</v>
      </c>
      <c r="AX78" s="15">
        <f>AW79/$C$14</f>
        <v>12307.732951625898</v>
      </c>
      <c r="AY78" s="16">
        <f>MAX((AZ77*$C$15+AZ79*(1-$C$15))*EXP(-$C$9*$C$13),$C$8-AY77)</f>
        <v>25203.124512311748</v>
      </c>
      <c r="AZ78" s="15">
        <f>AY79/$C$14</f>
        <v>12307.732951625898</v>
      </c>
      <c r="BA78" s="16">
        <f>MAX((BB77*$C$15+BB79*(1-$C$15))*EXP(-$C$9*$C$13),$C$8-BA77)</f>
        <v>25203.124512311748</v>
      </c>
      <c r="BB78" s="15">
        <f>BA79/$C$14</f>
        <v>12307.732951625898</v>
      </c>
      <c r="BD78" s="55">
        <f t="shared" si="21"/>
        <v>13561.600000000095</v>
      </c>
      <c r="BE78" s="48">
        <v>24438.399999999998</v>
      </c>
      <c r="BF78" s="48">
        <v>24438.399999999998</v>
      </c>
      <c r="BG78" s="48">
        <v>24438.399999999998</v>
      </c>
      <c r="BH78" s="48">
        <v>24438.399999999998</v>
      </c>
      <c r="BI78" s="48">
        <v>24438.399999999998</v>
      </c>
      <c r="BJ78" s="48">
        <v>24438.399999999998</v>
      </c>
      <c r="BK78" s="48">
        <v>24438.399999999998</v>
      </c>
      <c r="BL78" s="48">
        <v>24438.399999999998</v>
      </c>
      <c r="BM78" s="48">
        <v>24438.399999999998</v>
      </c>
      <c r="BN78" s="48">
        <v>24438.399999999998</v>
      </c>
      <c r="BO78" s="48">
        <v>24438.399999999998</v>
      </c>
      <c r="BP78" s="48">
        <v>24438.399999999998</v>
      </c>
      <c r="BQ78" s="48">
        <v>24438.399999999998</v>
      </c>
      <c r="BR78" s="48">
        <v>24438.399999999998</v>
      </c>
      <c r="BS78" s="48">
        <v>24438.399999999998</v>
      </c>
      <c r="BT78" s="48">
        <v>24438.399999999998</v>
      </c>
      <c r="BU78" s="48">
        <v>24438.399999999998</v>
      </c>
      <c r="BV78" s="48">
        <v>24438.399999999998</v>
      </c>
      <c r="BW78" s="48">
        <v>24438.399999999998</v>
      </c>
      <c r="BX78" s="48">
        <v>24438.399999999998</v>
      </c>
      <c r="BY78" s="48">
        <v>24438.399999999998</v>
      </c>
      <c r="BZ78" s="48">
        <v>24438.399999999998</v>
      </c>
      <c r="CA78" s="48">
        <v>24438.399999999998</v>
      </c>
      <c r="CB78" s="48">
        <v>24438.399999999998</v>
      </c>
      <c r="CC78" s="48">
        <v>24438.399999999998</v>
      </c>
      <c r="CD78" s="48">
        <v>24438.399999999998</v>
      </c>
      <c r="CE78" s="48">
        <v>24438.399999999998</v>
      </c>
      <c r="CF78" s="48">
        <v>24438.399999999998</v>
      </c>
      <c r="CG78" s="48">
        <v>24438.399999999998</v>
      </c>
      <c r="CH78" s="48">
        <v>24438.399999999998</v>
      </c>
      <c r="CI78" s="48">
        <v>24438.399999999998</v>
      </c>
      <c r="CJ78" s="48">
        <v>24438.399999999998</v>
      </c>
      <c r="CK78" s="48">
        <v>24438.399999999998</v>
      </c>
      <c r="CL78" s="48">
        <v>24438.399999999998</v>
      </c>
      <c r="CM78" s="48">
        <v>24438.399999999998</v>
      </c>
      <c r="CN78" s="48">
        <v>24438.399999999998</v>
      </c>
      <c r="CO78" s="48">
        <v>24438.399999999998</v>
      </c>
      <c r="CP78" s="48">
        <v>24438.399999999998</v>
      </c>
      <c r="CQ78" s="48">
        <v>24438.399999999998</v>
      </c>
      <c r="CR78" s="48">
        <v>24438.399999999998</v>
      </c>
      <c r="CS78" s="48">
        <v>24438.399999999998</v>
      </c>
      <c r="CT78" s="48">
        <v>24438.399999999998</v>
      </c>
      <c r="CU78" s="48">
        <v>24438.399999999998</v>
      </c>
      <c r="CV78" s="48">
        <v>24438.399999999998</v>
      </c>
      <c r="CW78" s="48">
        <v>24438.399999999998</v>
      </c>
      <c r="CX78" s="48">
        <v>24438.399999999998</v>
      </c>
      <c r="CY78" s="48">
        <v>24438.399999999998</v>
      </c>
      <c r="CZ78" s="48">
        <v>24438.399999999998</v>
      </c>
      <c r="DA78" s="48">
        <v>24438.399999999998</v>
      </c>
      <c r="DB78" s="48">
        <v>24438.399999999998</v>
      </c>
      <c r="DC78" s="49">
        <f t="shared" si="15"/>
        <v>24438.399999999998</v>
      </c>
      <c r="DD78" s="5">
        <f t="shared" si="22"/>
        <v>12</v>
      </c>
      <c r="DE78" s="30" cm="1">
        <f t="array" ref="DE78">1/2*(rf-q)*DD78*dt-1/2*(sigma^2)*(DD78^2)*dt</f>
        <v>-0.10776417534246573</v>
      </c>
      <c r="DF78" s="25">
        <f t="shared" si="17"/>
        <v>1.2189902684931506</v>
      </c>
      <c r="DG78" s="6">
        <f t="shared" si="18"/>
        <v>-0.1109597917808219</v>
      </c>
      <c r="DH78" s="25">
        <f t="shared" si="20"/>
        <v>1.4490069588646293E-8</v>
      </c>
      <c r="DI78">
        <v>24428.283242306159</v>
      </c>
      <c r="DJ78" s="27">
        <f t="shared" si="19"/>
        <v>24438.399999999998</v>
      </c>
    </row>
    <row r="79" spans="16:114" x14ac:dyDescent="0.25">
      <c r="AD79" s="16">
        <f>MAX((AE78*$C$15+AE80*(1-$C$15))*EXP(-$C$9*$C$13),$C$8-AD78)</f>
        <v>25692.267048374102</v>
      </c>
      <c r="AE79" s="15">
        <f>AD78*$C$14</f>
        <v>11837.28719985403</v>
      </c>
      <c r="AF79" s="16">
        <f>MAX((AG78*$C$15+AG80*(1-$C$15))*EXP(-$C$9*$C$13),$C$8-AF78)</f>
        <v>25692.267048374102</v>
      </c>
      <c r="AG79" s="15">
        <f>AF80/$C$14</f>
        <v>11837.28719985403</v>
      </c>
      <c r="AH79" s="16">
        <f>MAX((AI78*$C$15+AI80*(1-$C$15))*EXP(-$C$9*$C$13),$C$8-AH78)</f>
        <v>25692.267048374102</v>
      </c>
      <c r="AI79" s="15">
        <f>AH80/$C$14</f>
        <v>11837.28719985403</v>
      </c>
      <c r="AJ79" s="16">
        <f>MAX((AK78*$C$15+AK80*(1-$C$15))*EXP(-$C$9*$C$13),$C$8-AJ78)</f>
        <v>25692.267048374102</v>
      </c>
      <c r="AK79" s="15">
        <f>AJ80/$C$14</f>
        <v>11837.28719985403</v>
      </c>
      <c r="AL79" s="16">
        <f>MAX((AM78*$C$15+AM80*(1-$C$15))*EXP(-$C$9*$C$13),$C$8-AL78)</f>
        <v>25692.267048374102</v>
      </c>
      <c r="AM79" s="15">
        <f>AL80/$C$14</f>
        <v>11837.28719985403</v>
      </c>
      <c r="AN79" s="16">
        <f>MAX((AO78*$C$15+AO80*(1-$C$15))*EXP(-$C$9*$C$13),$C$8-AN78)</f>
        <v>25692.267048374102</v>
      </c>
      <c r="AO79" s="15">
        <f>AN80/$C$14</f>
        <v>11837.28719985403</v>
      </c>
      <c r="AP79" s="16">
        <f>MAX((AQ78*$C$15+AQ80*(1-$C$15))*EXP(-$C$9*$C$13),$C$8-AP78)</f>
        <v>25692.267048374102</v>
      </c>
      <c r="AQ79" s="15">
        <f>AP80/$C$14</f>
        <v>11837.28719985403</v>
      </c>
      <c r="AR79" s="16">
        <f>MAX((AS78*$C$15+AS80*(1-$C$15))*EXP(-$C$9*$C$13),$C$8-AR78)</f>
        <v>25692.267048374102</v>
      </c>
      <c r="AS79" s="15">
        <f>AR80/$C$14</f>
        <v>11837.28719985403</v>
      </c>
      <c r="AT79" s="16">
        <f>MAX((AU78*$C$15+AU80*(1-$C$15))*EXP(-$C$9*$C$13),$C$8-AT78)</f>
        <v>25692.267048374102</v>
      </c>
      <c r="AU79" s="15">
        <f>AT80/$C$14</f>
        <v>11837.28719985403</v>
      </c>
      <c r="AV79" s="16">
        <f>MAX((AW78*$C$15+AW80*(1-$C$15))*EXP(-$C$9*$C$13),$C$8-AV78)</f>
        <v>25692.267048374102</v>
      </c>
      <c r="AW79" s="15">
        <f>AV80/$C$14</f>
        <v>11837.28719985403</v>
      </c>
      <c r="AX79" s="16">
        <f>MAX((AY78*$C$15+AY80*(1-$C$15))*EXP(-$C$9*$C$13),$C$8-AX78)</f>
        <v>25692.267048374102</v>
      </c>
      <c r="AY79" s="15">
        <f>AX80/$C$14</f>
        <v>11837.28719985403</v>
      </c>
      <c r="AZ79" s="16">
        <f>MAX((BA78*$C$15+BA80*(1-$C$15))*EXP(-$C$9*$C$13),$C$8-AZ78)</f>
        <v>25692.267048374102</v>
      </c>
      <c r="BA79" s="15">
        <f>AZ80/$C$14</f>
        <v>11837.28719985403</v>
      </c>
      <c r="BB79" s="16">
        <f>MAX(0,$C$8-BB78)</f>
        <v>25692.267048374102</v>
      </c>
      <c r="BD79" s="55">
        <f t="shared" si="21"/>
        <v>12431.466666666762</v>
      </c>
      <c r="BE79" s="48">
        <v>25568.533333333333</v>
      </c>
      <c r="BF79" s="48">
        <v>25568.533333333333</v>
      </c>
      <c r="BG79" s="48">
        <v>25568.533333333333</v>
      </c>
      <c r="BH79" s="48">
        <v>25568.533333333333</v>
      </c>
      <c r="BI79" s="48">
        <v>25568.533333333333</v>
      </c>
      <c r="BJ79" s="48">
        <v>25568.533333333333</v>
      </c>
      <c r="BK79" s="48">
        <v>25568.533333333333</v>
      </c>
      <c r="BL79" s="48">
        <v>25568.533333333333</v>
      </c>
      <c r="BM79" s="48">
        <v>25568.533333333333</v>
      </c>
      <c r="BN79" s="48">
        <v>25568.533333333333</v>
      </c>
      <c r="BO79" s="48">
        <v>25568.533333333333</v>
      </c>
      <c r="BP79" s="48">
        <v>25568.533333333333</v>
      </c>
      <c r="BQ79" s="48">
        <v>25568.533333333333</v>
      </c>
      <c r="BR79" s="48">
        <v>25568.533333333333</v>
      </c>
      <c r="BS79" s="48">
        <v>25568.533333333333</v>
      </c>
      <c r="BT79" s="48">
        <v>25568.533333333333</v>
      </c>
      <c r="BU79" s="48">
        <v>25568.533333333333</v>
      </c>
      <c r="BV79" s="48">
        <v>25568.533333333333</v>
      </c>
      <c r="BW79" s="48">
        <v>25568.533333333333</v>
      </c>
      <c r="BX79" s="48">
        <v>25568.533333333333</v>
      </c>
      <c r="BY79" s="48">
        <v>25568.533333333333</v>
      </c>
      <c r="BZ79" s="48">
        <v>25568.533333333333</v>
      </c>
      <c r="CA79" s="48">
        <v>25568.533333333333</v>
      </c>
      <c r="CB79" s="48">
        <v>25568.533333333333</v>
      </c>
      <c r="CC79" s="48">
        <v>25568.533333333333</v>
      </c>
      <c r="CD79" s="48">
        <v>25568.533333333333</v>
      </c>
      <c r="CE79" s="48">
        <v>25568.533333333333</v>
      </c>
      <c r="CF79" s="48">
        <v>25568.533333333333</v>
      </c>
      <c r="CG79" s="48">
        <v>25568.533333333333</v>
      </c>
      <c r="CH79" s="48">
        <v>25568.533333333333</v>
      </c>
      <c r="CI79" s="48">
        <v>25568.533333333333</v>
      </c>
      <c r="CJ79" s="48">
        <v>25568.533333333333</v>
      </c>
      <c r="CK79" s="48">
        <v>25568.533333333333</v>
      </c>
      <c r="CL79" s="48">
        <v>25568.533333333333</v>
      </c>
      <c r="CM79" s="48">
        <v>25568.533333333333</v>
      </c>
      <c r="CN79" s="48">
        <v>25568.533333333333</v>
      </c>
      <c r="CO79" s="48">
        <v>25568.533333333333</v>
      </c>
      <c r="CP79" s="48">
        <v>25568.533333333333</v>
      </c>
      <c r="CQ79" s="48">
        <v>25568.533333333333</v>
      </c>
      <c r="CR79" s="48">
        <v>25568.533333333333</v>
      </c>
      <c r="CS79" s="48">
        <v>25568.533333333333</v>
      </c>
      <c r="CT79" s="48">
        <v>25568.533333333333</v>
      </c>
      <c r="CU79" s="48">
        <v>25568.533333333333</v>
      </c>
      <c r="CV79" s="48">
        <v>25568.533333333333</v>
      </c>
      <c r="CW79" s="48">
        <v>25568.533333333333</v>
      </c>
      <c r="CX79" s="48">
        <v>25568.533333333333</v>
      </c>
      <c r="CY79" s="48">
        <v>25568.533333333333</v>
      </c>
      <c r="CZ79" s="48">
        <v>25568.533333333333</v>
      </c>
      <c r="DA79" s="48">
        <v>25568.533333333333</v>
      </c>
      <c r="DB79" s="48">
        <v>25568.533333333333</v>
      </c>
      <c r="DC79" s="49">
        <f t="shared" si="15"/>
        <v>25568.533333333333</v>
      </c>
      <c r="DD79" s="5">
        <f t="shared" si="22"/>
        <v>11</v>
      </c>
      <c r="DE79" s="30" cm="1">
        <f t="array" ref="DE79">1/2*(rf-q)*DD79*dt-1/2*(sigma^2)*(DD79^2)*dt</f>
        <v>-9.0429786986301358E-2</v>
      </c>
      <c r="DF79" s="25">
        <f t="shared" si="17"/>
        <v>1.1840551904109589</v>
      </c>
      <c r="DG79" s="6">
        <f t="shared" si="18"/>
        <v>-9.3359102054794488E-2</v>
      </c>
      <c r="DH79" s="25">
        <f t="shared" si="20"/>
        <v>1.4482793631032109E-8</v>
      </c>
      <c r="DI79">
        <v>25558.416575418556</v>
      </c>
      <c r="DJ79" s="27">
        <f t="shared" si="19"/>
        <v>25568.533333333333</v>
      </c>
    </row>
    <row r="80" spans="16:114" x14ac:dyDescent="0.25">
      <c r="AE80" s="16">
        <f>MAX((AF79*$C$15+AF81*(1-$C$15))*EXP(-$C$9*$C$13),$C$8-AE79)</f>
        <v>26162.712800145971</v>
      </c>
      <c r="AF80" s="15">
        <f>AE79*$C$14</f>
        <v>11384.823574134951</v>
      </c>
      <c r="AG80" s="16">
        <f>MAX((AH79*$C$15+AH81*(1-$C$15))*EXP(-$C$9*$C$13),$C$8-AG79)</f>
        <v>26162.712800145971</v>
      </c>
      <c r="AH80" s="15">
        <f>AG81/$C$14</f>
        <v>11384.823574134951</v>
      </c>
      <c r="AI80" s="16">
        <f>MAX((AJ79*$C$15+AJ81*(1-$C$15))*EXP(-$C$9*$C$13),$C$8-AI79)</f>
        <v>26162.712800145971</v>
      </c>
      <c r="AJ80" s="15">
        <f>AI81/$C$14</f>
        <v>11384.823574134951</v>
      </c>
      <c r="AK80" s="16">
        <f>MAX((AL79*$C$15+AL81*(1-$C$15))*EXP(-$C$9*$C$13),$C$8-AK79)</f>
        <v>26162.712800145971</v>
      </c>
      <c r="AL80" s="15">
        <f>AK81/$C$14</f>
        <v>11384.823574134951</v>
      </c>
      <c r="AM80" s="16">
        <f>MAX((AN79*$C$15+AN81*(1-$C$15))*EXP(-$C$9*$C$13),$C$8-AM79)</f>
        <v>26162.712800145971</v>
      </c>
      <c r="AN80" s="15">
        <f>AM81/$C$14</f>
        <v>11384.823574134951</v>
      </c>
      <c r="AO80" s="16">
        <f>MAX((AP79*$C$15+AP81*(1-$C$15))*EXP(-$C$9*$C$13),$C$8-AO79)</f>
        <v>26162.712800145971</v>
      </c>
      <c r="AP80" s="15">
        <f>AO81/$C$14</f>
        <v>11384.823574134951</v>
      </c>
      <c r="AQ80" s="16">
        <f>MAX((AR79*$C$15+AR81*(1-$C$15))*EXP(-$C$9*$C$13),$C$8-AQ79)</f>
        <v>26162.712800145971</v>
      </c>
      <c r="AR80" s="15">
        <f>AQ81/$C$14</f>
        <v>11384.823574134951</v>
      </c>
      <c r="AS80" s="16">
        <f>MAX((AT79*$C$15+AT81*(1-$C$15))*EXP(-$C$9*$C$13),$C$8-AS79)</f>
        <v>26162.712800145971</v>
      </c>
      <c r="AT80" s="15">
        <f>AS81/$C$14</f>
        <v>11384.823574134951</v>
      </c>
      <c r="AU80" s="16">
        <f>MAX((AV79*$C$15+AV81*(1-$C$15))*EXP(-$C$9*$C$13),$C$8-AU79)</f>
        <v>26162.712800145971</v>
      </c>
      <c r="AV80" s="15">
        <f>AU81/$C$14</f>
        <v>11384.823574134951</v>
      </c>
      <c r="AW80" s="16">
        <f>MAX((AX79*$C$15+AX81*(1-$C$15))*EXP(-$C$9*$C$13),$C$8-AW79)</f>
        <v>26162.712800145971</v>
      </c>
      <c r="AX80" s="15">
        <f>AW81/$C$14</f>
        <v>11384.823574134951</v>
      </c>
      <c r="AY80" s="16">
        <f>MAX((AZ79*$C$15+AZ81*(1-$C$15))*EXP(-$C$9*$C$13),$C$8-AY79)</f>
        <v>26162.712800145971</v>
      </c>
      <c r="AZ80" s="15">
        <f>AY81/$C$14</f>
        <v>11384.823574134951</v>
      </c>
      <c r="BA80" s="16">
        <f>MAX((BB79*$C$15+BB81*(1-$C$15))*EXP(-$C$9*$C$13),$C$8-BA79)</f>
        <v>26162.712800145971</v>
      </c>
      <c r="BB80" s="15">
        <f>BA81/$C$14</f>
        <v>11384.823574134951</v>
      </c>
      <c r="BD80" s="55">
        <f t="shared" si="21"/>
        <v>11301.333333333429</v>
      </c>
      <c r="BE80" s="48">
        <v>26698.666666666664</v>
      </c>
      <c r="BF80" s="48">
        <v>26698.666666666664</v>
      </c>
      <c r="BG80" s="48">
        <v>26698.666666666664</v>
      </c>
      <c r="BH80" s="48">
        <v>26698.666666666664</v>
      </c>
      <c r="BI80" s="48">
        <v>26698.666666666664</v>
      </c>
      <c r="BJ80" s="48">
        <v>26698.666666666664</v>
      </c>
      <c r="BK80" s="48">
        <v>26698.666666666664</v>
      </c>
      <c r="BL80" s="48">
        <v>26698.666666666664</v>
      </c>
      <c r="BM80" s="48">
        <v>26698.666666666664</v>
      </c>
      <c r="BN80" s="48">
        <v>26698.666666666664</v>
      </c>
      <c r="BO80" s="48">
        <v>26698.666666666664</v>
      </c>
      <c r="BP80" s="48">
        <v>26698.666666666664</v>
      </c>
      <c r="BQ80" s="48">
        <v>26698.666666666664</v>
      </c>
      <c r="BR80" s="48">
        <v>26698.666666666664</v>
      </c>
      <c r="BS80" s="48">
        <v>26698.666666666664</v>
      </c>
      <c r="BT80" s="48">
        <v>26698.666666666664</v>
      </c>
      <c r="BU80" s="48">
        <v>26698.666666666664</v>
      </c>
      <c r="BV80" s="48">
        <v>26698.666666666664</v>
      </c>
      <c r="BW80" s="48">
        <v>26698.666666666664</v>
      </c>
      <c r="BX80" s="48">
        <v>26698.666666666664</v>
      </c>
      <c r="BY80" s="48">
        <v>26698.666666666664</v>
      </c>
      <c r="BZ80" s="48">
        <v>26698.666666666664</v>
      </c>
      <c r="CA80" s="48">
        <v>26698.666666666664</v>
      </c>
      <c r="CB80" s="48">
        <v>26698.666666666664</v>
      </c>
      <c r="CC80" s="48">
        <v>26698.666666666664</v>
      </c>
      <c r="CD80" s="48">
        <v>26698.666666666664</v>
      </c>
      <c r="CE80" s="48">
        <v>26698.666666666664</v>
      </c>
      <c r="CF80" s="48">
        <v>26698.666666666664</v>
      </c>
      <c r="CG80" s="48">
        <v>26698.666666666664</v>
      </c>
      <c r="CH80" s="48">
        <v>26698.666666666664</v>
      </c>
      <c r="CI80" s="48">
        <v>26698.666666666664</v>
      </c>
      <c r="CJ80" s="48">
        <v>26698.666666666664</v>
      </c>
      <c r="CK80" s="48">
        <v>26698.666666666664</v>
      </c>
      <c r="CL80" s="48">
        <v>26698.666666666664</v>
      </c>
      <c r="CM80" s="48">
        <v>26698.666666666664</v>
      </c>
      <c r="CN80" s="48">
        <v>26698.666666666664</v>
      </c>
      <c r="CO80" s="48">
        <v>26698.666666666664</v>
      </c>
      <c r="CP80" s="48">
        <v>26698.666666666664</v>
      </c>
      <c r="CQ80" s="48">
        <v>26698.666666666664</v>
      </c>
      <c r="CR80" s="48">
        <v>26698.666666666664</v>
      </c>
      <c r="CS80" s="48">
        <v>26698.666666666664</v>
      </c>
      <c r="CT80" s="48">
        <v>26698.666666666664</v>
      </c>
      <c r="CU80" s="48">
        <v>26698.666666666664</v>
      </c>
      <c r="CV80" s="48">
        <v>26698.666666666664</v>
      </c>
      <c r="CW80" s="48">
        <v>26698.666666666664</v>
      </c>
      <c r="CX80" s="48">
        <v>26698.666666666664</v>
      </c>
      <c r="CY80" s="48">
        <v>26698.666666666664</v>
      </c>
      <c r="CZ80" s="48">
        <v>26698.666666666664</v>
      </c>
      <c r="DA80" s="48">
        <v>26698.666666666664</v>
      </c>
      <c r="DB80" s="48">
        <v>26698.666666666664</v>
      </c>
      <c r="DC80" s="49">
        <f t="shared" si="15"/>
        <v>26698.666666666664</v>
      </c>
      <c r="DD80" s="5">
        <f t="shared" si="22"/>
        <v>10</v>
      </c>
      <c r="DE80" s="30" cm="1">
        <f t="array" ref="DE80">1/2*(rf-q)*DD80*dt-1/2*(sigma^2)*(DD80^2)*dt</f>
        <v>-7.4614315068493142E-2</v>
      </c>
      <c r="DF80" s="25">
        <f t="shared" si="17"/>
        <v>1.1521579452054793</v>
      </c>
      <c r="DG80" s="6">
        <f t="shared" si="18"/>
        <v>-7.7277328767123288E-2</v>
      </c>
      <c r="DH80" s="25">
        <f t="shared" si="20"/>
        <v>1.4464603736996651E-8</v>
      </c>
      <c r="DI80">
        <v>26688.549908734367</v>
      </c>
      <c r="DJ80" s="27">
        <f t="shared" si="19"/>
        <v>26698.666666666664</v>
      </c>
    </row>
    <row r="81" spans="32:114" x14ac:dyDescent="0.25">
      <c r="AF81" s="16">
        <f>MAX((AG80*$C$15+AG82*(1-$C$15))*EXP(-$C$9*$C$13),$C$8-AF80)</f>
        <v>26615.176425865051</v>
      </c>
      <c r="AG81" s="15">
        <f>AF80*$C$14</f>
        <v>10949.65473303522</v>
      </c>
      <c r="AH81" s="16">
        <f>MAX((AI80*$C$15+AI82*(1-$C$15))*EXP(-$C$9*$C$13),$C$8-AH80)</f>
        <v>26615.176425865051</v>
      </c>
      <c r="AI81" s="15">
        <f>AH82/$C$14</f>
        <v>10949.65473303522</v>
      </c>
      <c r="AJ81" s="16">
        <f>MAX((AK80*$C$15+AK82*(1-$C$15))*EXP(-$C$9*$C$13),$C$8-AJ80)</f>
        <v>26615.176425865051</v>
      </c>
      <c r="AK81" s="15">
        <f>AJ82/$C$14</f>
        <v>10949.65473303522</v>
      </c>
      <c r="AL81" s="16">
        <f>MAX((AM80*$C$15+AM82*(1-$C$15))*EXP(-$C$9*$C$13),$C$8-AL80)</f>
        <v>26615.176425865051</v>
      </c>
      <c r="AM81" s="15">
        <f>AL82/$C$14</f>
        <v>10949.65473303522</v>
      </c>
      <c r="AN81" s="16">
        <f>MAX((AO80*$C$15+AO82*(1-$C$15))*EXP(-$C$9*$C$13),$C$8-AN80)</f>
        <v>26615.176425865051</v>
      </c>
      <c r="AO81" s="15">
        <f>AN82/$C$14</f>
        <v>10949.65473303522</v>
      </c>
      <c r="AP81" s="16">
        <f>MAX((AQ80*$C$15+AQ82*(1-$C$15))*EXP(-$C$9*$C$13),$C$8-AP80)</f>
        <v>26615.176425865051</v>
      </c>
      <c r="AQ81" s="15">
        <f>AP82/$C$14</f>
        <v>10949.65473303522</v>
      </c>
      <c r="AR81" s="16">
        <f>MAX((AS80*$C$15+AS82*(1-$C$15))*EXP(-$C$9*$C$13),$C$8-AR80)</f>
        <v>26615.176425865051</v>
      </c>
      <c r="AS81" s="15">
        <f>AR82/$C$14</f>
        <v>10949.65473303522</v>
      </c>
      <c r="AT81" s="16">
        <f>MAX((AU80*$C$15+AU82*(1-$C$15))*EXP(-$C$9*$C$13),$C$8-AT80)</f>
        <v>26615.176425865051</v>
      </c>
      <c r="AU81" s="15">
        <f>AT82/$C$14</f>
        <v>10949.65473303522</v>
      </c>
      <c r="AV81" s="16">
        <f>MAX((AW80*$C$15+AW82*(1-$C$15))*EXP(-$C$9*$C$13),$C$8-AV80)</f>
        <v>26615.176425865051</v>
      </c>
      <c r="AW81" s="15">
        <f>AV82/$C$14</f>
        <v>10949.65473303522</v>
      </c>
      <c r="AX81" s="16">
        <f>MAX((AY80*$C$15+AY82*(1-$C$15))*EXP(-$C$9*$C$13),$C$8-AX80)</f>
        <v>26615.176425865051</v>
      </c>
      <c r="AY81" s="15">
        <f>AX82/$C$14</f>
        <v>10949.65473303522</v>
      </c>
      <c r="AZ81" s="16">
        <f>MAX((BA80*$C$15+BA82*(1-$C$15))*EXP(-$C$9*$C$13),$C$8-AZ80)</f>
        <v>26615.176425865051</v>
      </c>
      <c r="BA81" s="15">
        <f>AZ82/$C$14</f>
        <v>10949.65473303522</v>
      </c>
      <c r="BB81" s="16">
        <f>MAX(0,$C$8-BB80)</f>
        <v>26615.176425865051</v>
      </c>
      <c r="BD81" s="55">
        <f t="shared" si="21"/>
        <v>10171.200000000095</v>
      </c>
      <c r="BE81" s="48">
        <v>27828.799999999999</v>
      </c>
      <c r="BF81" s="48">
        <v>27828.799999999999</v>
      </c>
      <c r="BG81" s="48">
        <v>27828.799999999999</v>
      </c>
      <c r="BH81" s="48">
        <v>27828.799999999999</v>
      </c>
      <c r="BI81" s="48">
        <v>27828.799999999999</v>
      </c>
      <c r="BJ81" s="48">
        <v>27828.799999999999</v>
      </c>
      <c r="BK81" s="48">
        <v>27828.799999999999</v>
      </c>
      <c r="BL81" s="48">
        <v>27828.799999999999</v>
      </c>
      <c r="BM81" s="48">
        <v>27828.799999999999</v>
      </c>
      <c r="BN81" s="48">
        <v>27828.799999999999</v>
      </c>
      <c r="BO81" s="48">
        <v>27828.799999999999</v>
      </c>
      <c r="BP81" s="48">
        <v>27828.799999999999</v>
      </c>
      <c r="BQ81" s="48">
        <v>27828.799999999999</v>
      </c>
      <c r="BR81" s="48">
        <v>27828.799999999999</v>
      </c>
      <c r="BS81" s="48">
        <v>27828.799999999999</v>
      </c>
      <c r="BT81" s="48">
        <v>27828.799999999999</v>
      </c>
      <c r="BU81" s="48">
        <v>27828.799999999999</v>
      </c>
      <c r="BV81" s="48">
        <v>27828.799999999999</v>
      </c>
      <c r="BW81" s="48">
        <v>27828.799999999999</v>
      </c>
      <c r="BX81" s="48">
        <v>27828.799999999999</v>
      </c>
      <c r="BY81" s="48">
        <v>27828.799999999999</v>
      </c>
      <c r="BZ81" s="48">
        <v>27828.799999999999</v>
      </c>
      <c r="CA81" s="48">
        <v>27828.799999999999</v>
      </c>
      <c r="CB81" s="48">
        <v>27828.799999999999</v>
      </c>
      <c r="CC81" s="48">
        <v>27828.799999999999</v>
      </c>
      <c r="CD81" s="48">
        <v>27828.799999999999</v>
      </c>
      <c r="CE81" s="48">
        <v>27828.799999999999</v>
      </c>
      <c r="CF81" s="48">
        <v>27828.799999999999</v>
      </c>
      <c r="CG81" s="48">
        <v>27828.799999999999</v>
      </c>
      <c r="CH81" s="48">
        <v>27828.799999999999</v>
      </c>
      <c r="CI81" s="48">
        <v>27828.799999999999</v>
      </c>
      <c r="CJ81" s="48">
        <v>27828.799999999999</v>
      </c>
      <c r="CK81" s="48">
        <v>27828.799999999999</v>
      </c>
      <c r="CL81" s="48">
        <v>27828.799999999999</v>
      </c>
      <c r="CM81" s="48">
        <v>27828.799999999999</v>
      </c>
      <c r="CN81" s="48">
        <v>27828.799999999999</v>
      </c>
      <c r="CO81" s="48">
        <v>27828.799999999999</v>
      </c>
      <c r="CP81" s="48">
        <v>27828.799999999999</v>
      </c>
      <c r="CQ81" s="48">
        <v>27828.799999999999</v>
      </c>
      <c r="CR81" s="48">
        <v>27828.799999999999</v>
      </c>
      <c r="CS81" s="48">
        <v>27828.799999999999</v>
      </c>
      <c r="CT81" s="48">
        <v>27828.799999999999</v>
      </c>
      <c r="CU81" s="48">
        <v>27828.799999999999</v>
      </c>
      <c r="CV81" s="48">
        <v>27828.799999999999</v>
      </c>
      <c r="CW81" s="48">
        <v>27828.799999999999</v>
      </c>
      <c r="CX81" s="48">
        <v>27828.799999999999</v>
      </c>
      <c r="CY81" s="48">
        <v>27828.799999999999</v>
      </c>
      <c r="CZ81" s="48">
        <v>27828.799999999999</v>
      </c>
      <c r="DA81" s="48">
        <v>27828.799999999999</v>
      </c>
      <c r="DB81" s="48">
        <v>27828.799999999999</v>
      </c>
      <c r="DC81" s="49">
        <f t="shared" si="15"/>
        <v>27828.799999999999</v>
      </c>
      <c r="DD81" s="5">
        <f t="shared" si="22"/>
        <v>9</v>
      </c>
      <c r="DE81" s="30" cm="1">
        <f t="array" ref="DE81">1/2*(rf-q)*DD81*dt-1/2*(sigma^2)*(DD81^2)*dt</f>
        <v>-6.0317759589041085E-2</v>
      </c>
      <c r="DF81" s="25">
        <f t="shared" si="17"/>
        <v>1.1232985328767122</v>
      </c>
      <c r="DG81" s="6">
        <f t="shared" si="18"/>
        <v>-6.2714471917808212E-2</v>
      </c>
      <c r="DH81" s="25">
        <f t="shared" si="20"/>
        <v>1.8590071704238653E-8</v>
      </c>
      <c r="DI81">
        <v>27818.683242070147</v>
      </c>
      <c r="DJ81" s="27">
        <f t="shared" si="19"/>
        <v>27828.799999999999</v>
      </c>
    </row>
    <row r="82" spans="32:114" x14ac:dyDescent="0.25">
      <c r="AG82" s="16">
        <f>MAX((AH81*$C$15+AH83*(1-$C$15))*EXP(-$C$9*$C$13),$C$8-AG81)</f>
        <v>27050.345266964781</v>
      </c>
      <c r="AH82" s="15">
        <f>AG81*$C$14</f>
        <v>10531.119607779301</v>
      </c>
      <c r="AI82" s="16">
        <f>MAX((AJ81*$C$15+AJ83*(1-$C$15))*EXP(-$C$9*$C$13),$C$8-AI81)</f>
        <v>27050.345266964781</v>
      </c>
      <c r="AJ82" s="15">
        <f>AI83/$C$14</f>
        <v>10531.119607779301</v>
      </c>
      <c r="AK82" s="16">
        <f>MAX((AL81*$C$15+AL83*(1-$C$15))*EXP(-$C$9*$C$13),$C$8-AK81)</f>
        <v>27050.345266964781</v>
      </c>
      <c r="AL82" s="15">
        <f>AK83/$C$14</f>
        <v>10531.119607779301</v>
      </c>
      <c r="AM82" s="16">
        <f>MAX((AN81*$C$15+AN83*(1-$C$15))*EXP(-$C$9*$C$13),$C$8-AM81)</f>
        <v>27050.345266964781</v>
      </c>
      <c r="AN82" s="15">
        <f>AM83/$C$14</f>
        <v>10531.119607779301</v>
      </c>
      <c r="AO82" s="16">
        <f>MAX((AP81*$C$15+AP83*(1-$C$15))*EXP(-$C$9*$C$13),$C$8-AO81)</f>
        <v>27050.345266964781</v>
      </c>
      <c r="AP82" s="15">
        <f>AO83/$C$14</f>
        <v>10531.119607779301</v>
      </c>
      <c r="AQ82" s="16">
        <f>MAX((AR81*$C$15+AR83*(1-$C$15))*EXP(-$C$9*$C$13),$C$8-AQ81)</f>
        <v>27050.345266964781</v>
      </c>
      <c r="AR82" s="15">
        <f>AQ83/$C$14</f>
        <v>10531.119607779301</v>
      </c>
      <c r="AS82" s="16">
        <f>MAX((AT81*$C$15+AT83*(1-$C$15))*EXP(-$C$9*$C$13),$C$8-AS81)</f>
        <v>27050.345266964781</v>
      </c>
      <c r="AT82" s="15">
        <f>AS83/$C$14</f>
        <v>10531.119607779301</v>
      </c>
      <c r="AU82" s="16">
        <f>MAX((AV81*$C$15+AV83*(1-$C$15))*EXP(-$C$9*$C$13),$C$8-AU81)</f>
        <v>27050.345266964781</v>
      </c>
      <c r="AV82" s="15">
        <f>AU83/$C$14</f>
        <v>10531.119607779301</v>
      </c>
      <c r="AW82" s="16">
        <f>MAX((AX81*$C$15+AX83*(1-$C$15))*EXP(-$C$9*$C$13),$C$8-AW81)</f>
        <v>27050.345266964781</v>
      </c>
      <c r="AX82" s="15">
        <f>AW83/$C$14</f>
        <v>10531.119607779301</v>
      </c>
      <c r="AY82" s="16">
        <f>MAX((AZ81*$C$15+AZ83*(1-$C$15))*EXP(-$C$9*$C$13),$C$8-AY81)</f>
        <v>27050.345266964781</v>
      </c>
      <c r="AZ82" s="15">
        <f>AY83/$C$14</f>
        <v>10531.119607779301</v>
      </c>
      <c r="BA82" s="16">
        <f>MAX((BB81*$C$15+BB83*(1-$C$15))*EXP(-$C$9*$C$13),$C$8-BA81)</f>
        <v>27050.345266964781</v>
      </c>
      <c r="BB82" s="15">
        <f>BA83/$C$14</f>
        <v>10531.119607779301</v>
      </c>
      <c r="BD82" s="55">
        <f t="shared" si="21"/>
        <v>9041.0666666667621</v>
      </c>
      <c r="BE82" s="48">
        <v>28958.933333333334</v>
      </c>
      <c r="BF82" s="48">
        <v>28958.933333333334</v>
      </c>
      <c r="BG82" s="48">
        <v>28958.933333333334</v>
      </c>
      <c r="BH82" s="48">
        <v>28958.933333333334</v>
      </c>
      <c r="BI82" s="48">
        <v>28958.933333333334</v>
      </c>
      <c r="BJ82" s="48">
        <v>28958.933333333334</v>
      </c>
      <c r="BK82" s="48">
        <v>28958.933333333334</v>
      </c>
      <c r="BL82" s="48">
        <v>28958.933333333334</v>
      </c>
      <c r="BM82" s="48">
        <v>28958.933333333334</v>
      </c>
      <c r="BN82" s="48">
        <v>28958.933333333334</v>
      </c>
      <c r="BO82" s="48">
        <v>28958.933333333334</v>
      </c>
      <c r="BP82" s="48">
        <v>28958.933333333334</v>
      </c>
      <c r="BQ82" s="48">
        <v>28958.933333333334</v>
      </c>
      <c r="BR82" s="48">
        <v>28958.933333333334</v>
      </c>
      <c r="BS82" s="48">
        <v>28958.933333333334</v>
      </c>
      <c r="BT82" s="48">
        <v>28958.933333333334</v>
      </c>
      <c r="BU82" s="48">
        <v>28958.933333333334</v>
      </c>
      <c r="BV82" s="48">
        <v>28958.933333333334</v>
      </c>
      <c r="BW82" s="48">
        <v>28958.933333333334</v>
      </c>
      <c r="BX82" s="48">
        <v>28958.933333333334</v>
      </c>
      <c r="BY82" s="48">
        <v>28958.933333333334</v>
      </c>
      <c r="BZ82" s="48">
        <v>28958.933333333334</v>
      </c>
      <c r="CA82" s="48">
        <v>28958.933333333334</v>
      </c>
      <c r="CB82" s="48">
        <v>28958.933333333334</v>
      </c>
      <c r="CC82" s="48">
        <v>28958.933333333334</v>
      </c>
      <c r="CD82" s="48">
        <v>28958.933333333334</v>
      </c>
      <c r="CE82" s="48">
        <v>28958.933333333334</v>
      </c>
      <c r="CF82" s="48">
        <v>28958.933333333334</v>
      </c>
      <c r="CG82" s="48">
        <v>28958.933333333334</v>
      </c>
      <c r="CH82" s="48">
        <v>28958.933333333334</v>
      </c>
      <c r="CI82" s="48">
        <v>28958.933333333334</v>
      </c>
      <c r="CJ82" s="48">
        <v>28958.933333333334</v>
      </c>
      <c r="CK82" s="48">
        <v>28958.933333333334</v>
      </c>
      <c r="CL82" s="48">
        <v>28958.933333333334</v>
      </c>
      <c r="CM82" s="48">
        <v>28958.933333333334</v>
      </c>
      <c r="CN82" s="48">
        <v>28958.933333333334</v>
      </c>
      <c r="CO82" s="48">
        <v>28958.933333333334</v>
      </c>
      <c r="CP82" s="48">
        <v>28958.933333333334</v>
      </c>
      <c r="CQ82" s="48">
        <v>28958.933333333334</v>
      </c>
      <c r="CR82" s="48">
        <v>28958.933333333334</v>
      </c>
      <c r="CS82" s="48">
        <v>28958.933333333334</v>
      </c>
      <c r="CT82" s="48">
        <v>28958.933333333334</v>
      </c>
      <c r="CU82" s="48">
        <v>28958.933333333334</v>
      </c>
      <c r="CV82" s="48">
        <v>28958.933333333334</v>
      </c>
      <c r="CW82" s="48">
        <v>28958.933333333334</v>
      </c>
      <c r="CX82" s="48">
        <v>28958.933333333334</v>
      </c>
      <c r="CY82" s="48">
        <v>28958.933333333334</v>
      </c>
      <c r="CZ82" s="48">
        <v>28958.933333333334</v>
      </c>
      <c r="DA82" s="48">
        <v>28958.933333333334</v>
      </c>
      <c r="DB82" s="48">
        <v>28958.933333333334</v>
      </c>
      <c r="DC82" s="49">
        <f t="shared" si="15"/>
        <v>28958.933333333334</v>
      </c>
      <c r="DD82" s="5">
        <f t="shared" si="22"/>
        <v>8</v>
      </c>
      <c r="DE82" s="30" cm="1">
        <f t="array" ref="DE82">1/2*(rf-q)*DD82*dt-1/2*(sigma^2)*(DD82^2)*dt</f>
        <v>-4.7540120547945194E-2</v>
      </c>
      <c r="DF82" s="25">
        <f t="shared" si="17"/>
        <v>1.0974769534246573</v>
      </c>
      <c r="DG82" s="6">
        <f t="shared" si="18"/>
        <v>-4.9670531506849309E-2</v>
      </c>
      <c r="DH82" s="25">
        <f t="shared" si="20"/>
        <v>1.858279574662447E-8</v>
      </c>
      <c r="DI82">
        <v>28948.816575403616</v>
      </c>
      <c r="DJ82" s="27">
        <f t="shared" si="19"/>
        <v>28958.933333333334</v>
      </c>
    </row>
    <row r="83" spans="32:114" x14ac:dyDescent="0.25">
      <c r="AH83" s="16">
        <f>MAX((AI82*$C$15+AI84*(1-$C$15))*EXP(-$C$9*$C$13),$C$8-AH82)</f>
        <v>27468.880392220701</v>
      </c>
      <c r="AI83" s="15">
        <f>AH82*$C$14</f>
        <v>10128.582398014223</v>
      </c>
      <c r="AJ83" s="16">
        <f>MAX((AK82*$C$15+AK84*(1-$C$15))*EXP(-$C$9*$C$13),$C$8-AJ82)</f>
        <v>27468.880392220701</v>
      </c>
      <c r="AK83" s="15">
        <f>AJ84/$C$14</f>
        <v>10128.582398014223</v>
      </c>
      <c r="AL83" s="16">
        <f>MAX((AM82*$C$15+AM84*(1-$C$15))*EXP(-$C$9*$C$13),$C$8-AL82)</f>
        <v>27468.880392220701</v>
      </c>
      <c r="AM83" s="15">
        <f>AL84/$C$14</f>
        <v>10128.582398014223</v>
      </c>
      <c r="AN83" s="16">
        <f>MAX((AO82*$C$15+AO84*(1-$C$15))*EXP(-$C$9*$C$13),$C$8-AN82)</f>
        <v>27468.880392220701</v>
      </c>
      <c r="AO83" s="15">
        <f>AN84/$C$14</f>
        <v>10128.582398014223</v>
      </c>
      <c r="AP83" s="16">
        <f>MAX((AQ82*$C$15+AQ84*(1-$C$15))*EXP(-$C$9*$C$13),$C$8-AP82)</f>
        <v>27468.880392220701</v>
      </c>
      <c r="AQ83" s="15">
        <f>AP84/$C$14</f>
        <v>10128.582398014223</v>
      </c>
      <c r="AR83" s="16">
        <f>MAX((AS82*$C$15+AS84*(1-$C$15))*EXP(-$C$9*$C$13),$C$8-AR82)</f>
        <v>27468.880392220701</v>
      </c>
      <c r="AS83" s="15">
        <f>AR84/$C$14</f>
        <v>10128.582398014223</v>
      </c>
      <c r="AT83" s="16">
        <f>MAX((AU82*$C$15+AU84*(1-$C$15))*EXP(-$C$9*$C$13),$C$8-AT82)</f>
        <v>27468.880392220701</v>
      </c>
      <c r="AU83" s="15">
        <f>AT84/$C$14</f>
        <v>10128.582398014223</v>
      </c>
      <c r="AV83" s="16">
        <f>MAX((AW82*$C$15+AW84*(1-$C$15))*EXP(-$C$9*$C$13),$C$8-AV82)</f>
        <v>27468.880392220701</v>
      </c>
      <c r="AW83" s="15">
        <f>AV84/$C$14</f>
        <v>10128.582398014223</v>
      </c>
      <c r="AX83" s="16">
        <f>MAX((AY82*$C$15+AY84*(1-$C$15))*EXP(-$C$9*$C$13),$C$8-AX82)</f>
        <v>27468.880392220701</v>
      </c>
      <c r="AY83" s="15">
        <f>AX84/$C$14</f>
        <v>10128.582398014223</v>
      </c>
      <c r="AZ83" s="16">
        <f>MAX((BA82*$C$15+BA84*(1-$C$15))*EXP(-$C$9*$C$13),$C$8-AZ82)</f>
        <v>27468.880392220701</v>
      </c>
      <c r="BA83" s="15">
        <f>AZ84/$C$14</f>
        <v>10128.582398014223</v>
      </c>
      <c r="BB83" s="16">
        <f>MAX(0,$C$8-BB82)</f>
        <v>27468.880392220701</v>
      </c>
      <c r="BD83" s="55">
        <f t="shared" si="21"/>
        <v>7910.9333333334289</v>
      </c>
      <c r="BE83" s="48">
        <v>30089.066666666666</v>
      </c>
      <c r="BF83" s="48">
        <v>30089.066666666666</v>
      </c>
      <c r="BG83" s="48">
        <v>30089.066666666666</v>
      </c>
      <c r="BH83" s="48">
        <v>30089.066666666666</v>
      </c>
      <c r="BI83" s="48">
        <v>30089.066666666666</v>
      </c>
      <c r="BJ83" s="48">
        <v>30089.066666666666</v>
      </c>
      <c r="BK83" s="48">
        <v>30089.066666666666</v>
      </c>
      <c r="BL83" s="48">
        <v>30089.066666666666</v>
      </c>
      <c r="BM83" s="48">
        <v>30089.066666666666</v>
      </c>
      <c r="BN83" s="48">
        <v>30089.066666666666</v>
      </c>
      <c r="BO83" s="48">
        <v>30089.066666666666</v>
      </c>
      <c r="BP83" s="48">
        <v>30089.066666666666</v>
      </c>
      <c r="BQ83" s="48">
        <v>30089.066666666666</v>
      </c>
      <c r="BR83" s="48">
        <v>30089.066666666666</v>
      </c>
      <c r="BS83" s="48">
        <v>30089.066666666666</v>
      </c>
      <c r="BT83" s="48">
        <v>30089.066666666666</v>
      </c>
      <c r="BU83" s="48">
        <v>30089.066666666666</v>
      </c>
      <c r="BV83" s="48">
        <v>30089.066666666666</v>
      </c>
      <c r="BW83" s="48">
        <v>30089.066666666666</v>
      </c>
      <c r="BX83" s="48">
        <v>30089.066666666666</v>
      </c>
      <c r="BY83" s="48">
        <v>30089.066666666666</v>
      </c>
      <c r="BZ83" s="48">
        <v>30089.066666666666</v>
      </c>
      <c r="CA83" s="48">
        <v>30089.066666666666</v>
      </c>
      <c r="CB83" s="48">
        <v>30089.066666666666</v>
      </c>
      <c r="CC83" s="48">
        <v>30089.066666666666</v>
      </c>
      <c r="CD83" s="48">
        <v>30089.066666666666</v>
      </c>
      <c r="CE83" s="48">
        <v>30089.066666666666</v>
      </c>
      <c r="CF83" s="48">
        <v>30089.066666666666</v>
      </c>
      <c r="CG83" s="48">
        <v>30089.066666666666</v>
      </c>
      <c r="CH83" s="48">
        <v>30089.066666666666</v>
      </c>
      <c r="CI83" s="48">
        <v>30089.066666666666</v>
      </c>
      <c r="CJ83" s="48">
        <v>30089.066666666666</v>
      </c>
      <c r="CK83" s="48">
        <v>30089.066666666666</v>
      </c>
      <c r="CL83" s="48">
        <v>30089.066666666666</v>
      </c>
      <c r="CM83" s="48">
        <v>30089.066666666666</v>
      </c>
      <c r="CN83" s="48">
        <v>30089.066666666666</v>
      </c>
      <c r="CO83" s="48">
        <v>30089.066666666666</v>
      </c>
      <c r="CP83" s="48">
        <v>30089.066666666666</v>
      </c>
      <c r="CQ83" s="48">
        <v>30089.066666666666</v>
      </c>
      <c r="CR83" s="48">
        <v>30089.066666666666</v>
      </c>
      <c r="CS83" s="48">
        <v>30089.066666666666</v>
      </c>
      <c r="CT83" s="48">
        <v>30089.066666666666</v>
      </c>
      <c r="CU83" s="48">
        <v>30089.066666666666</v>
      </c>
      <c r="CV83" s="48">
        <v>30089.066666666666</v>
      </c>
      <c r="CW83" s="48">
        <v>30089.066666666666</v>
      </c>
      <c r="CX83" s="48">
        <v>30089.066666666666</v>
      </c>
      <c r="CY83" s="48">
        <v>30089.066666666666</v>
      </c>
      <c r="CZ83" s="48">
        <v>30089.066666666666</v>
      </c>
      <c r="DA83" s="48">
        <v>30089.066666666666</v>
      </c>
      <c r="DB83" s="48">
        <v>30089.066666666666</v>
      </c>
      <c r="DC83" s="49">
        <f t="shared" si="15"/>
        <v>30089.066666666666</v>
      </c>
      <c r="DD83" s="5">
        <f t="shared" si="22"/>
        <v>7</v>
      </c>
      <c r="DE83" s="30" cm="1">
        <f t="array" ref="DE83">1/2*(rf-q)*DD83*dt-1/2*(sigma^2)*(DD83^2)*dt</f>
        <v>-3.6281397945205469E-2</v>
      </c>
      <c r="DF83" s="25">
        <f t="shared" si="17"/>
        <v>1.0746932068493149</v>
      </c>
      <c r="DG83" s="6">
        <f t="shared" si="18"/>
        <v>-3.8145507534246566E-2</v>
      </c>
      <c r="DH83" s="25">
        <f t="shared" si="20"/>
        <v>1.8579157767817378E-8</v>
      </c>
      <c r="DI83">
        <v>30078.949908736951</v>
      </c>
      <c r="DJ83" s="27">
        <f t="shared" si="19"/>
        <v>30089.066666666666</v>
      </c>
    </row>
    <row r="84" spans="32:114" x14ac:dyDescent="0.25">
      <c r="AI84" s="16">
        <f>MAX((AJ83*$C$15+AJ85*(1-$C$15))*EXP(-$C$9*$C$13),$C$8-AI83)</f>
        <v>27871.417601985777</v>
      </c>
      <c r="AJ84" s="15">
        <f>AI83*$C$14</f>
        <v>9741.4316059597331</v>
      </c>
      <c r="AK84" s="16">
        <f>MAX((AL83*$C$15+AL85*(1-$C$15))*EXP(-$C$9*$C$13),$C$8-AK83)</f>
        <v>27871.417601985777</v>
      </c>
      <c r="AL84" s="15">
        <f>AK85/$C$14</f>
        <v>9741.4316059597331</v>
      </c>
      <c r="AM84" s="16">
        <f>MAX((AN83*$C$15+AN85*(1-$C$15))*EXP(-$C$9*$C$13),$C$8-AM83)</f>
        <v>27871.417601985777</v>
      </c>
      <c r="AN84" s="15">
        <f>AM85/$C$14</f>
        <v>9741.4316059597331</v>
      </c>
      <c r="AO84" s="16">
        <f>MAX((AP83*$C$15+AP85*(1-$C$15))*EXP(-$C$9*$C$13),$C$8-AO83)</f>
        <v>27871.417601985777</v>
      </c>
      <c r="AP84" s="15">
        <f>AO85/$C$14</f>
        <v>9741.4316059597331</v>
      </c>
      <c r="AQ84" s="16">
        <f>MAX((AR83*$C$15+AR85*(1-$C$15))*EXP(-$C$9*$C$13),$C$8-AQ83)</f>
        <v>27871.417601985777</v>
      </c>
      <c r="AR84" s="15">
        <f>AQ85/$C$14</f>
        <v>9741.4316059597331</v>
      </c>
      <c r="AS84" s="16">
        <f>MAX((AT83*$C$15+AT85*(1-$C$15))*EXP(-$C$9*$C$13),$C$8-AS83)</f>
        <v>27871.417601985777</v>
      </c>
      <c r="AT84" s="15">
        <f>AS85/$C$14</f>
        <v>9741.4316059597331</v>
      </c>
      <c r="AU84" s="16">
        <f>MAX((AV83*$C$15+AV85*(1-$C$15))*EXP(-$C$9*$C$13),$C$8-AU83)</f>
        <v>27871.417601985777</v>
      </c>
      <c r="AV84" s="15">
        <f>AU85/$C$14</f>
        <v>9741.4316059597331</v>
      </c>
      <c r="AW84" s="16">
        <f>MAX((AX83*$C$15+AX85*(1-$C$15))*EXP(-$C$9*$C$13),$C$8-AW83)</f>
        <v>27871.417601985777</v>
      </c>
      <c r="AX84" s="15">
        <f>AW85/$C$14</f>
        <v>9741.4316059597331</v>
      </c>
      <c r="AY84" s="16">
        <f>MAX((AZ83*$C$15+AZ85*(1-$C$15))*EXP(-$C$9*$C$13),$C$8-AY83)</f>
        <v>27871.417601985777</v>
      </c>
      <c r="AZ84" s="15">
        <f>AY85/$C$14</f>
        <v>9741.4316059597331</v>
      </c>
      <c r="BA84" s="16">
        <f>MAX((BB83*$C$15+BB85*(1-$C$15))*EXP(-$C$9*$C$13),$C$8-BA83)</f>
        <v>27871.417601985777</v>
      </c>
      <c r="BB84" s="15">
        <f>BA85/$C$14</f>
        <v>9741.4316059597331</v>
      </c>
      <c r="BD84" s="55">
        <f t="shared" si="21"/>
        <v>6780.8000000000957</v>
      </c>
      <c r="BE84" s="48">
        <v>31219.199999999997</v>
      </c>
      <c r="BF84" s="48">
        <v>31219.199999999997</v>
      </c>
      <c r="BG84" s="48">
        <v>31219.199999999997</v>
      </c>
      <c r="BH84" s="48">
        <v>31219.199999999997</v>
      </c>
      <c r="BI84" s="48">
        <v>31219.199999999997</v>
      </c>
      <c r="BJ84" s="48">
        <v>31219.199999999997</v>
      </c>
      <c r="BK84" s="48">
        <v>31219.199999999997</v>
      </c>
      <c r="BL84" s="48">
        <v>31219.199999999997</v>
      </c>
      <c r="BM84" s="48">
        <v>31219.199999999997</v>
      </c>
      <c r="BN84" s="48">
        <v>31219.199999999997</v>
      </c>
      <c r="BO84" s="48">
        <v>31219.199999999997</v>
      </c>
      <c r="BP84" s="48">
        <v>31219.199999999997</v>
      </c>
      <c r="BQ84" s="48">
        <v>31219.199999999997</v>
      </c>
      <c r="BR84" s="48">
        <v>31219.199999999997</v>
      </c>
      <c r="BS84" s="48">
        <v>31219.199999999997</v>
      </c>
      <c r="BT84" s="48">
        <v>31219.199999999997</v>
      </c>
      <c r="BU84" s="48">
        <v>31219.199999999997</v>
      </c>
      <c r="BV84" s="48">
        <v>31219.199999999997</v>
      </c>
      <c r="BW84" s="48">
        <v>31219.199999999997</v>
      </c>
      <c r="BX84" s="48">
        <v>31219.199999999997</v>
      </c>
      <c r="BY84" s="48">
        <v>31219.199999999997</v>
      </c>
      <c r="BZ84" s="48">
        <v>31219.199999999997</v>
      </c>
      <c r="CA84" s="48">
        <v>31219.199999999997</v>
      </c>
      <c r="CB84" s="48">
        <v>31219.199999999997</v>
      </c>
      <c r="CC84" s="48">
        <v>31219.199999999997</v>
      </c>
      <c r="CD84" s="48">
        <v>31219.199999999997</v>
      </c>
      <c r="CE84" s="48">
        <v>31219.199999999997</v>
      </c>
      <c r="CF84" s="48">
        <v>31219.199999999997</v>
      </c>
      <c r="CG84" s="48">
        <v>31219.199999999997</v>
      </c>
      <c r="CH84" s="48">
        <v>31219.199999999997</v>
      </c>
      <c r="CI84" s="48">
        <v>31219.199999999997</v>
      </c>
      <c r="CJ84" s="48">
        <v>31219.199999999997</v>
      </c>
      <c r="CK84" s="48">
        <v>31219.199999999997</v>
      </c>
      <c r="CL84" s="48">
        <v>31219.199999999997</v>
      </c>
      <c r="CM84" s="48">
        <v>31219.199999999997</v>
      </c>
      <c r="CN84" s="48">
        <v>31219.199999999997</v>
      </c>
      <c r="CO84" s="48">
        <v>31219.199999999997</v>
      </c>
      <c r="CP84" s="48">
        <v>31219.199999999997</v>
      </c>
      <c r="CQ84" s="48">
        <v>31219.199999999997</v>
      </c>
      <c r="CR84" s="48">
        <v>31219.199999999997</v>
      </c>
      <c r="CS84" s="48">
        <v>31219.199999999997</v>
      </c>
      <c r="CT84" s="48">
        <v>31219.199999999997</v>
      </c>
      <c r="CU84" s="48">
        <v>31219.199999999997</v>
      </c>
      <c r="CV84" s="48">
        <v>31219.199999999997</v>
      </c>
      <c r="CW84" s="48">
        <v>31219.199999999997</v>
      </c>
      <c r="CX84" s="48">
        <v>31219.199999999997</v>
      </c>
      <c r="CY84" s="48">
        <v>31219.199999999997</v>
      </c>
      <c r="CZ84" s="48">
        <v>31219.199999999997</v>
      </c>
      <c r="DA84" s="48">
        <v>31219.199999999997</v>
      </c>
      <c r="DB84" s="48">
        <v>31219.199999999997</v>
      </c>
      <c r="DC84" s="49">
        <f t="shared" si="15"/>
        <v>31219.199999999997</v>
      </c>
      <c r="DD84" s="5">
        <f t="shared" si="22"/>
        <v>6</v>
      </c>
      <c r="DE84" s="30" cm="1">
        <f t="array" ref="DE84">1/2*(rf-q)*DD84*dt-1/2*(sigma^2)*(DD84^2)*dt</f>
        <v>-2.654159178082191E-2</v>
      </c>
      <c r="DF84" s="25">
        <f t="shared" si="17"/>
        <v>1.0549472931506849</v>
      </c>
      <c r="DG84" s="6">
        <f t="shared" si="18"/>
        <v>-2.8139399999999995E-2</v>
      </c>
      <c r="DH84" s="25">
        <f t="shared" si="20"/>
        <v>1.8593709683045745E-8</v>
      </c>
      <c r="DI84">
        <v>31209.083242070334</v>
      </c>
      <c r="DJ84" s="27">
        <f t="shared" si="19"/>
        <v>31219.199999999997</v>
      </c>
    </row>
    <row r="85" spans="32:114" x14ac:dyDescent="0.25">
      <c r="AJ85" s="16">
        <f>MAX((AK84*$C$15+AK86*(1-$C$15))*EXP(-$C$9*$C$13),$C$8-AJ84)</f>
        <v>28258.568394040267</v>
      </c>
      <c r="AK85" s="15">
        <f>AJ84*$C$14</f>
        <v>9369.0791074766912</v>
      </c>
      <c r="AL85" s="16">
        <f>MAX((AM84*$C$15+AM86*(1-$C$15))*EXP(-$C$9*$C$13),$C$8-AL84)</f>
        <v>28258.568394040267</v>
      </c>
      <c r="AM85" s="15">
        <f>AL86/$C$14</f>
        <v>9369.0791074766912</v>
      </c>
      <c r="AN85" s="16">
        <f>MAX((AO84*$C$15+AO86*(1-$C$15))*EXP(-$C$9*$C$13),$C$8-AN84)</f>
        <v>28258.568394040267</v>
      </c>
      <c r="AO85" s="15">
        <f>AN86/$C$14</f>
        <v>9369.0791074766912</v>
      </c>
      <c r="AP85" s="16">
        <f>MAX((AQ84*$C$15+AQ86*(1-$C$15))*EXP(-$C$9*$C$13),$C$8-AP84)</f>
        <v>28258.568394040267</v>
      </c>
      <c r="AQ85" s="15">
        <f>AP86/$C$14</f>
        <v>9369.0791074766912</v>
      </c>
      <c r="AR85" s="16">
        <f>MAX((AS84*$C$15+AS86*(1-$C$15))*EXP(-$C$9*$C$13),$C$8-AR84)</f>
        <v>28258.568394040267</v>
      </c>
      <c r="AS85" s="15">
        <f>AR86/$C$14</f>
        <v>9369.0791074766912</v>
      </c>
      <c r="AT85" s="16">
        <f>MAX((AU84*$C$15+AU86*(1-$C$15))*EXP(-$C$9*$C$13),$C$8-AT84)</f>
        <v>28258.568394040267</v>
      </c>
      <c r="AU85" s="15">
        <f>AT86/$C$14</f>
        <v>9369.0791074766912</v>
      </c>
      <c r="AV85" s="16">
        <f>MAX((AW84*$C$15+AW86*(1-$C$15))*EXP(-$C$9*$C$13),$C$8-AV84)</f>
        <v>28258.568394040267</v>
      </c>
      <c r="AW85" s="15">
        <f>AV86/$C$14</f>
        <v>9369.0791074766912</v>
      </c>
      <c r="AX85" s="16">
        <f>MAX((AY84*$C$15+AY86*(1-$C$15))*EXP(-$C$9*$C$13),$C$8-AX84)</f>
        <v>28258.568394040267</v>
      </c>
      <c r="AY85" s="15">
        <f>AX86/$C$14</f>
        <v>9369.0791074766912</v>
      </c>
      <c r="AZ85" s="16">
        <f>MAX((BA84*$C$15+BA86*(1-$C$15))*EXP(-$C$9*$C$13),$C$8-AZ84)</f>
        <v>28258.568394040267</v>
      </c>
      <c r="BA85" s="15">
        <f>AZ86/$C$14</f>
        <v>9369.0791074766912</v>
      </c>
      <c r="BB85" s="16">
        <f>MAX(0,$C$8-BB84)</f>
        <v>28258.568394040267</v>
      </c>
      <c r="BD85" s="55">
        <f t="shared" si="21"/>
        <v>5650.6666666667625</v>
      </c>
      <c r="BE85" s="48">
        <v>32349.333333333332</v>
      </c>
      <c r="BF85" s="48">
        <v>32349.333333333332</v>
      </c>
      <c r="BG85" s="48">
        <v>32349.333333333332</v>
      </c>
      <c r="BH85" s="48">
        <v>32349.333333333332</v>
      </c>
      <c r="BI85" s="48">
        <v>32349.333333333332</v>
      </c>
      <c r="BJ85" s="48">
        <v>32349.333333333332</v>
      </c>
      <c r="BK85" s="48">
        <v>32349.333333333332</v>
      </c>
      <c r="BL85" s="48">
        <v>32349.333333333332</v>
      </c>
      <c r="BM85" s="48">
        <v>32349.333333333332</v>
      </c>
      <c r="BN85" s="48">
        <v>32349.333333333332</v>
      </c>
      <c r="BO85" s="48">
        <v>32349.333333333332</v>
      </c>
      <c r="BP85" s="48">
        <v>32349.333333333332</v>
      </c>
      <c r="BQ85" s="48">
        <v>32349.333333333332</v>
      </c>
      <c r="BR85" s="48">
        <v>32349.333333333332</v>
      </c>
      <c r="BS85" s="48">
        <v>32349.333333333332</v>
      </c>
      <c r="BT85" s="48">
        <v>32349.333333333332</v>
      </c>
      <c r="BU85" s="48">
        <v>32349.333333333332</v>
      </c>
      <c r="BV85" s="48">
        <v>32349.333333333332</v>
      </c>
      <c r="BW85" s="48">
        <v>32349.333333333332</v>
      </c>
      <c r="BX85" s="48">
        <v>32349.333333333332</v>
      </c>
      <c r="BY85" s="48">
        <v>32349.333333333332</v>
      </c>
      <c r="BZ85" s="48">
        <v>32349.333333333332</v>
      </c>
      <c r="CA85" s="48">
        <v>32349.333333333332</v>
      </c>
      <c r="CB85" s="48">
        <v>32349.333333333332</v>
      </c>
      <c r="CC85" s="48">
        <v>32349.333333333332</v>
      </c>
      <c r="CD85" s="48">
        <v>32349.333333333332</v>
      </c>
      <c r="CE85" s="48">
        <v>32349.333333333332</v>
      </c>
      <c r="CF85" s="48">
        <v>32349.333333333332</v>
      </c>
      <c r="CG85" s="48">
        <v>32349.333333333332</v>
      </c>
      <c r="CH85" s="48">
        <v>32349.333333333332</v>
      </c>
      <c r="CI85" s="48">
        <v>32349.333333333332</v>
      </c>
      <c r="CJ85" s="48">
        <v>32349.333333333332</v>
      </c>
      <c r="CK85" s="48">
        <v>32349.333333333332</v>
      </c>
      <c r="CL85" s="48">
        <v>32349.333333333332</v>
      </c>
      <c r="CM85" s="48">
        <v>32349.333333333332</v>
      </c>
      <c r="CN85" s="48">
        <v>32349.333333333332</v>
      </c>
      <c r="CO85" s="48">
        <v>32349.333333333332</v>
      </c>
      <c r="CP85" s="48">
        <v>32349.333333333332</v>
      </c>
      <c r="CQ85" s="48">
        <v>32349.333333333332</v>
      </c>
      <c r="CR85" s="48">
        <v>32349.333333333332</v>
      </c>
      <c r="CS85" s="48">
        <v>32349.333333333332</v>
      </c>
      <c r="CT85" s="48">
        <v>32349.333333333332</v>
      </c>
      <c r="CU85" s="48">
        <v>32349.333333333332</v>
      </c>
      <c r="CV85" s="48">
        <v>32349.333333333332</v>
      </c>
      <c r="CW85" s="48">
        <v>32349.333333333332</v>
      </c>
      <c r="CX85" s="48">
        <v>32349.333333333332</v>
      </c>
      <c r="CY85" s="48">
        <v>32349.333333333332</v>
      </c>
      <c r="CZ85" s="48">
        <v>32349.333333333332</v>
      </c>
      <c r="DA85" s="48">
        <v>32349.333333333332</v>
      </c>
      <c r="DB85" s="48">
        <v>32349.333333333332</v>
      </c>
      <c r="DC85" s="49">
        <f t="shared" si="15"/>
        <v>32349.333333333332</v>
      </c>
      <c r="DD85" s="5">
        <f t="shared" si="22"/>
        <v>5</v>
      </c>
      <c r="DE85" s="30" cm="1">
        <f t="array" ref="DE85">1/2*(rf-q)*DD85*dt-1/2*(sigma^2)*(DD85^2)*dt</f>
        <v>-1.8320702054794521E-2</v>
      </c>
      <c r="DF85" s="25">
        <f t="shared" si="17"/>
        <v>1.0382392123287671</v>
      </c>
      <c r="DG85" s="6">
        <f t="shared" si="18"/>
        <v>-1.9652208904109587E-2</v>
      </c>
      <c r="DH85" s="25">
        <f t="shared" si="20"/>
        <v>2.2700987756252289E-8</v>
      </c>
      <c r="DI85">
        <v>32339.216575405389</v>
      </c>
      <c r="DJ85" s="27">
        <f t="shared" si="19"/>
        <v>32349.333333333332</v>
      </c>
    </row>
    <row r="86" spans="32:114" x14ac:dyDescent="0.25">
      <c r="AK86" s="16">
        <f>MAX((AL85*$C$15+AL87*(1-$C$15))*EXP(-$C$9*$C$13),$C$8-AK85)</f>
        <v>28630.920892523311</v>
      </c>
      <c r="AL86" s="15">
        <f>AK85*$C$14</f>
        <v>9010.9592586425715</v>
      </c>
      <c r="AM86" s="16">
        <f>MAX((AN85*$C$15+AN87*(1-$C$15))*EXP(-$C$9*$C$13),$C$8-AM85)</f>
        <v>28630.920892523311</v>
      </c>
      <c r="AN86" s="15">
        <f>AM87/$C$14</f>
        <v>9010.9592586425715</v>
      </c>
      <c r="AO86" s="16">
        <f>MAX((AP85*$C$15+AP87*(1-$C$15))*EXP(-$C$9*$C$13),$C$8-AO85)</f>
        <v>28630.920892523311</v>
      </c>
      <c r="AP86" s="15">
        <f>AO87/$C$14</f>
        <v>9010.9592586425715</v>
      </c>
      <c r="AQ86" s="16">
        <f>MAX((AR85*$C$15+AR87*(1-$C$15))*EXP(-$C$9*$C$13),$C$8-AQ85)</f>
        <v>28630.920892523311</v>
      </c>
      <c r="AR86" s="15">
        <f>AQ87/$C$14</f>
        <v>9010.9592586425715</v>
      </c>
      <c r="AS86" s="16">
        <f>MAX((AT85*$C$15+AT87*(1-$C$15))*EXP(-$C$9*$C$13),$C$8-AS85)</f>
        <v>28630.920892523311</v>
      </c>
      <c r="AT86" s="15">
        <f>AS87/$C$14</f>
        <v>9010.9592586425715</v>
      </c>
      <c r="AU86" s="16">
        <f>MAX((AV85*$C$15+AV87*(1-$C$15))*EXP(-$C$9*$C$13),$C$8-AU85)</f>
        <v>28630.920892523311</v>
      </c>
      <c r="AV86" s="15">
        <f>AU87/$C$14</f>
        <v>9010.9592586425715</v>
      </c>
      <c r="AW86" s="16">
        <f>MAX((AX85*$C$15+AX87*(1-$C$15))*EXP(-$C$9*$C$13),$C$8-AW85)</f>
        <v>28630.920892523311</v>
      </c>
      <c r="AX86" s="15">
        <f>AW87/$C$14</f>
        <v>9010.9592586425715</v>
      </c>
      <c r="AY86" s="16">
        <f>MAX((AZ85*$C$15+AZ87*(1-$C$15))*EXP(-$C$9*$C$13),$C$8-AY85)</f>
        <v>28630.920892523311</v>
      </c>
      <c r="AZ86" s="15">
        <f>AY87/$C$14</f>
        <v>9010.9592586425715</v>
      </c>
      <c r="BA86" s="16">
        <f>MAX((BB85*$C$15+BB87*(1-$C$15))*EXP(-$C$9*$C$13),$C$8-BA85)</f>
        <v>28630.920892523311</v>
      </c>
      <c r="BB86" s="15">
        <f>BA87/$C$14</f>
        <v>9010.9592586425715</v>
      </c>
      <c r="BD86" s="55">
        <f t="shared" si="21"/>
        <v>4520.5333333334293</v>
      </c>
      <c r="BE86" s="48">
        <v>33479.466666666667</v>
      </c>
      <c r="BF86" s="48">
        <v>33479.466666666667</v>
      </c>
      <c r="BG86" s="48">
        <v>33479.466666666667</v>
      </c>
      <c r="BH86" s="48">
        <v>33479.466666666667</v>
      </c>
      <c r="BI86" s="48">
        <v>33479.466666666667</v>
      </c>
      <c r="BJ86" s="48">
        <v>33479.466666666667</v>
      </c>
      <c r="BK86" s="48">
        <v>33479.466666666667</v>
      </c>
      <c r="BL86" s="48">
        <v>33479.466666666667</v>
      </c>
      <c r="BM86" s="48">
        <v>33479.466666666667</v>
      </c>
      <c r="BN86" s="48">
        <v>33479.466666666667</v>
      </c>
      <c r="BO86" s="48">
        <v>33479.466666666667</v>
      </c>
      <c r="BP86" s="48">
        <v>33479.466666666667</v>
      </c>
      <c r="BQ86" s="48">
        <v>33479.466666666667</v>
      </c>
      <c r="BR86" s="48">
        <v>33479.466666666667</v>
      </c>
      <c r="BS86" s="48">
        <v>33479.466666666667</v>
      </c>
      <c r="BT86" s="48">
        <v>33479.466666666667</v>
      </c>
      <c r="BU86" s="48">
        <v>33479.466666666667</v>
      </c>
      <c r="BV86" s="48">
        <v>33479.466666666667</v>
      </c>
      <c r="BW86" s="48">
        <v>33479.466666666667</v>
      </c>
      <c r="BX86" s="48">
        <v>33479.466666666667</v>
      </c>
      <c r="BY86" s="48">
        <v>33479.466666666667</v>
      </c>
      <c r="BZ86" s="48">
        <v>33479.466666666667</v>
      </c>
      <c r="CA86" s="48">
        <v>33479.466666666667</v>
      </c>
      <c r="CB86" s="48">
        <v>33479.466666666667</v>
      </c>
      <c r="CC86" s="48">
        <v>33479.466666666667</v>
      </c>
      <c r="CD86" s="48">
        <v>33479.466666666667</v>
      </c>
      <c r="CE86" s="48">
        <v>33479.466666666667</v>
      </c>
      <c r="CF86" s="48">
        <v>33479.466666666667</v>
      </c>
      <c r="CG86" s="48">
        <v>33479.466666666667</v>
      </c>
      <c r="CH86" s="48">
        <v>33479.466666666667</v>
      </c>
      <c r="CI86" s="48">
        <v>33479.466666666667</v>
      </c>
      <c r="CJ86" s="48">
        <v>33479.466666666667</v>
      </c>
      <c r="CK86" s="48">
        <v>33479.466666666667</v>
      </c>
      <c r="CL86" s="48">
        <v>33479.466666666667</v>
      </c>
      <c r="CM86" s="48">
        <v>33479.466666666667</v>
      </c>
      <c r="CN86" s="48">
        <v>33479.466666666667</v>
      </c>
      <c r="CO86" s="48">
        <v>33479.466666666667</v>
      </c>
      <c r="CP86" s="48">
        <v>33479.466666666667</v>
      </c>
      <c r="CQ86" s="48">
        <v>33479.466666666667</v>
      </c>
      <c r="CR86" s="48">
        <v>33479.466666666667</v>
      </c>
      <c r="CS86" s="48">
        <v>33479.466666666667</v>
      </c>
      <c r="CT86" s="48">
        <v>33479.466666666667</v>
      </c>
      <c r="CU86" s="48">
        <v>33479.466666666667</v>
      </c>
      <c r="CV86" s="48">
        <v>33479.466666666667</v>
      </c>
      <c r="CW86" s="48">
        <v>33479.466666666667</v>
      </c>
      <c r="CX86" s="48">
        <v>33479.466666666667</v>
      </c>
      <c r="CY86" s="48">
        <v>33479.466666666667</v>
      </c>
      <c r="CZ86" s="48">
        <v>33479.466666666667</v>
      </c>
      <c r="DA86" s="48">
        <v>33479.466666666667</v>
      </c>
      <c r="DB86" s="48">
        <v>33479.466666666667</v>
      </c>
      <c r="DC86" s="49">
        <f t="shared" si="15"/>
        <v>33479.466666666667</v>
      </c>
      <c r="DD86" s="5">
        <f t="shared" si="22"/>
        <v>4</v>
      </c>
      <c r="DE86" s="30" cm="1">
        <f t="array" ref="DE86">1/2*(rf-q)*DD86*dt-1/2*(sigma^2)*(DD86^2)*dt</f>
        <v>-1.1618728767123285E-2</v>
      </c>
      <c r="DF86" s="25">
        <f t="shared" si="17"/>
        <v>1.0245689643835616</v>
      </c>
      <c r="DG86" s="6">
        <f t="shared" si="18"/>
        <v>-1.2683934246575341E-2</v>
      </c>
      <c r="DH86" s="25">
        <f t="shared" si="20"/>
        <v>-1.0728399502113461E-7</v>
      </c>
      <c r="DI86">
        <v>33469.349908612698</v>
      </c>
      <c r="DJ86" s="27">
        <f t="shared" si="19"/>
        <v>33479.466666666667</v>
      </c>
    </row>
    <row r="87" spans="32:114" x14ac:dyDescent="0.25">
      <c r="AL87" s="16">
        <f>MAX((AM86*$C$15+AM88*(1-$C$15))*EXP(-$C$9*$C$13),$C$8-AL86)</f>
        <v>28989.040741357428</v>
      </c>
      <c r="AM87" s="15">
        <f>AL86*$C$14</f>
        <v>8666.528036476855</v>
      </c>
      <c r="AN87" s="16">
        <f>MAX((AO86*$C$15+AO88*(1-$C$15))*EXP(-$C$9*$C$13),$C$8-AN86)</f>
        <v>28989.040741357428</v>
      </c>
      <c r="AO87" s="15">
        <f>AN88/$C$14</f>
        <v>8666.528036476855</v>
      </c>
      <c r="AP87" s="16">
        <f>MAX((AQ86*$C$15+AQ88*(1-$C$15))*EXP(-$C$9*$C$13),$C$8-AP86)</f>
        <v>28989.040741357428</v>
      </c>
      <c r="AQ87" s="15">
        <f>AP88/$C$14</f>
        <v>8666.528036476855</v>
      </c>
      <c r="AR87" s="16">
        <f>MAX((AS86*$C$15+AS88*(1-$C$15))*EXP(-$C$9*$C$13),$C$8-AR86)</f>
        <v>28989.040741357428</v>
      </c>
      <c r="AS87" s="15">
        <f>AR88/$C$14</f>
        <v>8666.528036476855</v>
      </c>
      <c r="AT87" s="16">
        <f>MAX((AU86*$C$15+AU88*(1-$C$15))*EXP(-$C$9*$C$13),$C$8-AT86)</f>
        <v>28989.040741357428</v>
      </c>
      <c r="AU87" s="15">
        <f>AT88/$C$14</f>
        <v>8666.528036476855</v>
      </c>
      <c r="AV87" s="16">
        <f>MAX((AW86*$C$15+AW88*(1-$C$15))*EXP(-$C$9*$C$13),$C$8-AV86)</f>
        <v>28989.040741357428</v>
      </c>
      <c r="AW87" s="15">
        <f>AV88/$C$14</f>
        <v>8666.528036476855</v>
      </c>
      <c r="AX87" s="16">
        <f>MAX((AY86*$C$15+AY88*(1-$C$15))*EXP(-$C$9*$C$13),$C$8-AX86)</f>
        <v>28989.040741357428</v>
      </c>
      <c r="AY87" s="15">
        <f>AX88/$C$14</f>
        <v>8666.528036476855</v>
      </c>
      <c r="AZ87" s="16">
        <f>MAX((BA86*$C$15+BA88*(1-$C$15))*EXP(-$C$9*$C$13),$C$8-AZ86)</f>
        <v>28989.040741357428</v>
      </c>
      <c r="BA87" s="15">
        <f>AZ88/$C$14</f>
        <v>8666.528036476855</v>
      </c>
      <c r="BB87" s="16">
        <f>MAX(0,$C$8-BB86)</f>
        <v>28989.040741357428</v>
      </c>
      <c r="BD87" s="55">
        <f t="shared" si="21"/>
        <v>3390.400000000096</v>
      </c>
      <c r="BE87" s="48">
        <v>34609.599999999999</v>
      </c>
      <c r="BF87" s="48">
        <v>34609.599999999999</v>
      </c>
      <c r="BG87" s="48">
        <v>34609.599999999999</v>
      </c>
      <c r="BH87" s="48">
        <v>34609.599999999999</v>
      </c>
      <c r="BI87" s="48">
        <v>34609.599999999999</v>
      </c>
      <c r="BJ87" s="48">
        <v>34609.599999999999</v>
      </c>
      <c r="BK87" s="48">
        <v>34609.599999999999</v>
      </c>
      <c r="BL87" s="48">
        <v>34609.599999999999</v>
      </c>
      <c r="BM87" s="48">
        <v>34609.599999999999</v>
      </c>
      <c r="BN87" s="48">
        <v>34609.599999999999</v>
      </c>
      <c r="BO87" s="48">
        <v>34609.599999999999</v>
      </c>
      <c r="BP87" s="48">
        <v>34609.599999999999</v>
      </c>
      <c r="BQ87" s="48">
        <v>34609.599999999999</v>
      </c>
      <c r="BR87" s="48">
        <v>34609.599999999999</v>
      </c>
      <c r="BS87" s="48">
        <v>34609.599999999999</v>
      </c>
      <c r="BT87" s="48">
        <v>34609.599999999999</v>
      </c>
      <c r="BU87" s="48">
        <v>34609.599999999999</v>
      </c>
      <c r="BV87" s="48">
        <v>34609.599999999999</v>
      </c>
      <c r="BW87" s="48">
        <v>34609.599999999999</v>
      </c>
      <c r="BX87" s="48">
        <v>34609.599999999999</v>
      </c>
      <c r="BY87" s="48">
        <v>34609.599999999999</v>
      </c>
      <c r="BZ87" s="48">
        <v>34609.599999999999</v>
      </c>
      <c r="CA87" s="48">
        <v>34609.599999999999</v>
      </c>
      <c r="CB87" s="48">
        <v>34609.599999999999</v>
      </c>
      <c r="CC87" s="48">
        <v>34609.599999999999</v>
      </c>
      <c r="CD87" s="48">
        <v>34609.599999999999</v>
      </c>
      <c r="CE87" s="48">
        <v>34609.599999999999</v>
      </c>
      <c r="CF87" s="48">
        <v>34609.599999999999</v>
      </c>
      <c r="CG87" s="48">
        <v>34609.599999999999</v>
      </c>
      <c r="CH87" s="48">
        <v>34609.599999999999</v>
      </c>
      <c r="CI87" s="48">
        <v>34609.599999999999</v>
      </c>
      <c r="CJ87" s="48">
        <v>34609.599999999999</v>
      </c>
      <c r="CK87" s="48">
        <v>34609.599999999999</v>
      </c>
      <c r="CL87" s="48">
        <v>34609.599999999999</v>
      </c>
      <c r="CM87" s="48">
        <v>34609.599999999999</v>
      </c>
      <c r="CN87" s="48">
        <v>34609.599999999999</v>
      </c>
      <c r="CO87" s="48">
        <v>34609.599999999999</v>
      </c>
      <c r="CP87" s="48">
        <v>34609.599999999999</v>
      </c>
      <c r="CQ87" s="48">
        <v>34609.599999999999</v>
      </c>
      <c r="CR87" s="48">
        <v>34609.599999999999</v>
      </c>
      <c r="CS87" s="48">
        <v>34609.599999999999</v>
      </c>
      <c r="CT87" s="48">
        <v>34609.599999999999</v>
      </c>
      <c r="CU87" s="48">
        <v>34609.599999999999</v>
      </c>
      <c r="CV87" s="48">
        <v>34609.599999999999</v>
      </c>
      <c r="CW87" s="48">
        <v>34609.599999999999</v>
      </c>
      <c r="CX87" s="48">
        <v>34609.599999999999</v>
      </c>
      <c r="CY87" s="48">
        <v>34609.599999999999</v>
      </c>
      <c r="CZ87" s="48">
        <v>34609.599999999999</v>
      </c>
      <c r="DA87" s="48">
        <v>34609.599999999999</v>
      </c>
      <c r="DB87" s="48">
        <v>34609.599999999999</v>
      </c>
      <c r="DC87" s="49">
        <f t="shared" si="15"/>
        <v>34609.599999999999</v>
      </c>
      <c r="DD87" s="5">
        <f t="shared" si="22"/>
        <v>3</v>
      </c>
      <c r="DE87" s="30" cm="1">
        <f t="array" ref="DE87">1/2*(rf-q)*DD87*dt-1/2*(sigma^2)*(DD87^2)*dt</f>
        <v>-6.4356719178082179E-3</v>
      </c>
      <c r="DF87" s="25">
        <f t="shared" si="17"/>
        <v>1.0139365493150685</v>
      </c>
      <c r="DG87" s="6">
        <f t="shared" si="18"/>
        <v>-7.2345760273972593E-3</v>
      </c>
      <c r="DH87" s="25">
        <f t="shared" si="20"/>
        <v>-1.0727671906352043E-7</v>
      </c>
      <c r="DI87">
        <v>34599.483241944414</v>
      </c>
      <c r="DJ87" s="27">
        <f t="shared" si="19"/>
        <v>34609.599999999999</v>
      </c>
    </row>
    <row r="88" spans="32:114" x14ac:dyDescent="0.25">
      <c r="AM88" s="16">
        <f>MAX((AN87*$C$15+AN89*(1-$C$15))*EXP(-$C$9*$C$13),$C$8-AM87)</f>
        <v>29333.471963523145</v>
      </c>
      <c r="AN88" s="15">
        <f>AM87*$C$14</f>
        <v>8335.2622125109792</v>
      </c>
      <c r="AO88" s="16">
        <f>MAX((AP87*$C$15+AP89*(1-$C$15))*EXP(-$C$9*$C$13),$C$8-AO87)</f>
        <v>29333.471963523145</v>
      </c>
      <c r="AP88" s="15">
        <f>AO89/$C$14</f>
        <v>8335.2622125109792</v>
      </c>
      <c r="AQ88" s="16">
        <f>MAX((AR87*$C$15+AR89*(1-$C$15))*EXP(-$C$9*$C$13),$C$8-AQ87)</f>
        <v>29333.471963523145</v>
      </c>
      <c r="AR88" s="15">
        <f>AQ89/$C$14</f>
        <v>8335.2622125109792</v>
      </c>
      <c r="AS88" s="16">
        <f>MAX((AT87*$C$15+AT89*(1-$C$15))*EXP(-$C$9*$C$13),$C$8-AS87)</f>
        <v>29333.471963523145</v>
      </c>
      <c r="AT88" s="15">
        <f>AS89/$C$14</f>
        <v>8335.2622125109792</v>
      </c>
      <c r="AU88" s="16">
        <f>MAX((AV87*$C$15+AV89*(1-$C$15))*EXP(-$C$9*$C$13),$C$8-AU87)</f>
        <v>29333.471963523145</v>
      </c>
      <c r="AV88" s="15">
        <f>AU89/$C$14</f>
        <v>8335.2622125109792</v>
      </c>
      <c r="AW88" s="16">
        <f>MAX((AX87*$C$15+AX89*(1-$C$15))*EXP(-$C$9*$C$13),$C$8-AW87)</f>
        <v>29333.471963523145</v>
      </c>
      <c r="AX88" s="15">
        <f>AW89/$C$14</f>
        <v>8335.2622125109792</v>
      </c>
      <c r="AY88" s="16">
        <f>MAX((AZ87*$C$15+AZ89*(1-$C$15))*EXP(-$C$9*$C$13),$C$8-AY87)</f>
        <v>29333.471963523145</v>
      </c>
      <c r="AZ88" s="15">
        <f>AY89/$C$14</f>
        <v>8335.2622125109792</v>
      </c>
      <c r="BA88" s="16">
        <f>MAX((BB87*$C$15+BB89*(1-$C$15))*EXP(-$C$9*$C$13),$C$8-BA87)</f>
        <v>29333.471963523145</v>
      </c>
      <c r="BB88" s="15">
        <f>BA89/$C$14</f>
        <v>8335.2622125109792</v>
      </c>
      <c r="BD88" s="55">
        <f t="shared" si="21"/>
        <v>2260.2666666667628</v>
      </c>
      <c r="BE88" s="48">
        <v>35739.73333333333</v>
      </c>
      <c r="BF88" s="48">
        <v>35739.73333333333</v>
      </c>
      <c r="BG88" s="48">
        <v>35739.73333333333</v>
      </c>
      <c r="BH88" s="48">
        <v>35739.73333333333</v>
      </c>
      <c r="BI88" s="48">
        <v>35739.73333333333</v>
      </c>
      <c r="BJ88" s="48">
        <v>35739.73333333333</v>
      </c>
      <c r="BK88" s="48">
        <v>35739.73333333333</v>
      </c>
      <c r="BL88" s="48">
        <v>35739.73333333333</v>
      </c>
      <c r="BM88" s="48">
        <v>35739.73333333333</v>
      </c>
      <c r="BN88" s="48">
        <v>35739.73333333333</v>
      </c>
      <c r="BO88" s="48">
        <v>35739.73333333333</v>
      </c>
      <c r="BP88" s="48">
        <v>35739.73333333333</v>
      </c>
      <c r="BQ88" s="48">
        <v>35739.73333333333</v>
      </c>
      <c r="BR88" s="48">
        <v>35739.73333333333</v>
      </c>
      <c r="BS88" s="48">
        <v>35739.73333333333</v>
      </c>
      <c r="BT88" s="48">
        <v>35739.73333333333</v>
      </c>
      <c r="BU88" s="48">
        <v>35739.73333333333</v>
      </c>
      <c r="BV88" s="48">
        <v>35739.73333333333</v>
      </c>
      <c r="BW88" s="48">
        <v>35739.73333333333</v>
      </c>
      <c r="BX88" s="48">
        <v>35739.73333333333</v>
      </c>
      <c r="BY88" s="48">
        <v>35739.73333333333</v>
      </c>
      <c r="BZ88" s="48">
        <v>35739.73333333333</v>
      </c>
      <c r="CA88" s="48">
        <v>35739.73333333333</v>
      </c>
      <c r="CB88" s="48">
        <v>35739.73333333333</v>
      </c>
      <c r="CC88" s="48">
        <v>35739.73333333333</v>
      </c>
      <c r="CD88" s="48">
        <v>35739.73333333333</v>
      </c>
      <c r="CE88" s="48">
        <v>35739.73333333333</v>
      </c>
      <c r="CF88" s="48">
        <v>35739.73333333333</v>
      </c>
      <c r="CG88" s="48">
        <v>35739.73333333333</v>
      </c>
      <c r="CH88" s="48">
        <v>35739.73333333333</v>
      </c>
      <c r="CI88" s="48">
        <v>35739.73333333333</v>
      </c>
      <c r="CJ88" s="48">
        <v>35739.73333333333</v>
      </c>
      <c r="CK88" s="48">
        <v>35739.73333333333</v>
      </c>
      <c r="CL88" s="48">
        <v>35739.73333333333</v>
      </c>
      <c r="CM88" s="48">
        <v>35739.73333333333</v>
      </c>
      <c r="CN88" s="48">
        <v>35739.73333333333</v>
      </c>
      <c r="CO88" s="48">
        <v>35739.73333333333</v>
      </c>
      <c r="CP88" s="48">
        <v>35739.73333333333</v>
      </c>
      <c r="CQ88" s="48">
        <v>35739.73333333333</v>
      </c>
      <c r="CR88" s="48">
        <v>35739.73333333333</v>
      </c>
      <c r="CS88" s="48">
        <v>35739.73333333333</v>
      </c>
      <c r="CT88" s="48">
        <v>35739.73333333333</v>
      </c>
      <c r="CU88" s="48">
        <v>35739.73333333333</v>
      </c>
      <c r="CV88" s="48">
        <v>35739.73333333333</v>
      </c>
      <c r="CW88" s="48">
        <v>35739.73333333333</v>
      </c>
      <c r="CX88" s="48">
        <v>35739.73333333333</v>
      </c>
      <c r="CY88" s="48">
        <v>35739.73333333333</v>
      </c>
      <c r="CZ88" s="48">
        <v>35739.73333333333</v>
      </c>
      <c r="DA88" s="48">
        <v>35739.73333333333</v>
      </c>
      <c r="DB88" s="48">
        <v>35739.73333333333</v>
      </c>
      <c r="DC88" s="49">
        <f t="shared" si="15"/>
        <v>35739.73333333333</v>
      </c>
      <c r="DD88" s="5">
        <f t="shared" si="22"/>
        <v>2</v>
      </c>
      <c r="DE88" s="30" cm="1">
        <f t="array" ref="DE88">1/2*(rf-q)*DD88*dt-1/2*(sigma^2)*(DD88^2)*dt</f>
        <v>-2.7715315068493145E-3</v>
      </c>
      <c r="DF88" s="25">
        <f t="shared" si="17"/>
        <v>1.0063419671232876</v>
      </c>
      <c r="DG88" s="6">
        <f t="shared" si="18"/>
        <v>-3.3041342465753415E-3</v>
      </c>
      <c r="DH88" s="25">
        <f t="shared" si="20"/>
        <v>-1.154985511675477E-7</v>
      </c>
      <c r="DI88">
        <v>35729.616575269589</v>
      </c>
      <c r="DJ88" s="27">
        <f t="shared" si="19"/>
        <v>35739.73333333333</v>
      </c>
    </row>
    <row r="89" spans="32:114" x14ac:dyDescent="0.25">
      <c r="AN89" s="16">
        <f>MAX((AO88*$C$15+AO90*(1-$C$15))*EXP(-$C$9*$C$13),$C$8-AN88)</f>
        <v>29664.737787489023</v>
      </c>
      <c r="AO89" s="15">
        <f>AN88*$C$14</f>
        <v>8016.6585579474186</v>
      </c>
      <c r="AP89" s="16">
        <f>MAX((AQ88*$C$15+AQ90*(1-$C$15))*EXP(-$C$9*$C$13),$C$8-AP88)</f>
        <v>29664.737787489023</v>
      </c>
      <c r="AQ89" s="15">
        <f>AP90/$C$14</f>
        <v>8016.6585579474186</v>
      </c>
      <c r="AR89" s="16">
        <f>MAX((AS88*$C$15+AS90*(1-$C$15))*EXP(-$C$9*$C$13),$C$8-AR88)</f>
        <v>29664.737787489023</v>
      </c>
      <c r="AS89" s="15">
        <f>AR90/$C$14</f>
        <v>8016.6585579474186</v>
      </c>
      <c r="AT89" s="16">
        <f>MAX((AU88*$C$15+AU90*(1-$C$15))*EXP(-$C$9*$C$13),$C$8-AT88)</f>
        <v>29664.737787489023</v>
      </c>
      <c r="AU89" s="15">
        <f>AT90/$C$14</f>
        <v>8016.6585579474186</v>
      </c>
      <c r="AV89" s="16">
        <f>MAX((AW88*$C$15+AW90*(1-$C$15))*EXP(-$C$9*$C$13),$C$8-AV88)</f>
        <v>29664.737787489023</v>
      </c>
      <c r="AW89" s="15">
        <f>AV90/$C$14</f>
        <v>8016.6585579474186</v>
      </c>
      <c r="AX89" s="16">
        <f>MAX((AY88*$C$15+AY90*(1-$C$15))*EXP(-$C$9*$C$13),$C$8-AX88)</f>
        <v>29664.737787489023</v>
      </c>
      <c r="AY89" s="15">
        <f>AX90/$C$14</f>
        <v>8016.6585579474186</v>
      </c>
      <c r="AZ89" s="16">
        <f>MAX((BA88*$C$15+BA90*(1-$C$15))*EXP(-$C$9*$C$13),$C$8-AZ88)</f>
        <v>29664.737787489023</v>
      </c>
      <c r="BA89" s="15">
        <f>AZ90/$C$14</f>
        <v>8016.6585579474186</v>
      </c>
      <c r="BB89" s="16">
        <f>MAX(0,$C$8-BB88)</f>
        <v>29664.737787489023</v>
      </c>
      <c r="BD89" s="55">
        <f t="shared" si="21"/>
        <v>1130.1333333334294</v>
      </c>
      <c r="BE89" s="48">
        <v>36869.866666666669</v>
      </c>
      <c r="BF89" s="48">
        <v>36869.866666666669</v>
      </c>
      <c r="BG89" s="48">
        <v>36869.866666666669</v>
      </c>
      <c r="BH89" s="48">
        <v>36869.866666666669</v>
      </c>
      <c r="BI89" s="48">
        <v>36869.866666666669</v>
      </c>
      <c r="BJ89" s="48">
        <v>36869.866666666669</v>
      </c>
      <c r="BK89" s="48">
        <v>36869.866666666669</v>
      </c>
      <c r="BL89" s="48">
        <v>36869.866666666669</v>
      </c>
      <c r="BM89" s="48">
        <v>36869.866666666669</v>
      </c>
      <c r="BN89" s="48">
        <v>36869.866666666669</v>
      </c>
      <c r="BO89" s="48">
        <v>36869.866666666669</v>
      </c>
      <c r="BP89" s="48">
        <v>36869.866666666669</v>
      </c>
      <c r="BQ89" s="48">
        <v>36869.866666666669</v>
      </c>
      <c r="BR89" s="48">
        <v>36869.866666666669</v>
      </c>
      <c r="BS89" s="48">
        <v>36869.866666666669</v>
      </c>
      <c r="BT89" s="48">
        <v>36869.866666666669</v>
      </c>
      <c r="BU89" s="48">
        <v>36869.866666666669</v>
      </c>
      <c r="BV89" s="48">
        <v>36869.866666666669</v>
      </c>
      <c r="BW89" s="48">
        <v>36869.866666666669</v>
      </c>
      <c r="BX89" s="48">
        <v>36869.866666666669</v>
      </c>
      <c r="BY89" s="48">
        <v>36869.866666666669</v>
      </c>
      <c r="BZ89" s="48">
        <v>36869.866666666669</v>
      </c>
      <c r="CA89" s="48">
        <v>36869.866666666669</v>
      </c>
      <c r="CB89" s="48">
        <v>36869.866666666669</v>
      </c>
      <c r="CC89" s="48">
        <v>36869.866666666669</v>
      </c>
      <c r="CD89" s="48">
        <v>36869.866666666669</v>
      </c>
      <c r="CE89" s="48">
        <v>36869.866666666669</v>
      </c>
      <c r="CF89" s="48">
        <v>36869.866666666669</v>
      </c>
      <c r="CG89" s="48">
        <v>36869.866666666669</v>
      </c>
      <c r="CH89" s="48">
        <v>36869.866666666669</v>
      </c>
      <c r="CI89" s="48">
        <v>36869.866666666669</v>
      </c>
      <c r="CJ89" s="48">
        <v>36869.866666666669</v>
      </c>
      <c r="CK89" s="48">
        <v>36869.866666666669</v>
      </c>
      <c r="CL89" s="48">
        <v>36869.866666666669</v>
      </c>
      <c r="CM89" s="48">
        <v>36869.866666666669</v>
      </c>
      <c r="CN89" s="48">
        <v>36869.866666666669</v>
      </c>
      <c r="CO89" s="48">
        <v>36869.866666666669</v>
      </c>
      <c r="CP89" s="48">
        <v>36869.866666666669</v>
      </c>
      <c r="CQ89" s="48">
        <v>36869.866666666669</v>
      </c>
      <c r="CR89" s="48">
        <v>36869.866666666669</v>
      </c>
      <c r="CS89" s="48">
        <v>36869.866666666669</v>
      </c>
      <c r="CT89" s="48">
        <v>36869.866666666669</v>
      </c>
      <c r="CU89" s="48">
        <v>36869.866666666669</v>
      </c>
      <c r="CV89" s="48">
        <v>36869.866666666669</v>
      </c>
      <c r="CW89" s="48">
        <v>36869.866666666669</v>
      </c>
      <c r="CX89" s="48">
        <v>36869.866666666669</v>
      </c>
      <c r="CY89" s="48">
        <v>36869.866666666669</v>
      </c>
      <c r="CZ89" s="48">
        <v>36869.866666666669</v>
      </c>
      <c r="DA89" s="48">
        <v>36869.866666666669</v>
      </c>
      <c r="DB89" s="48">
        <v>36869.866666666669</v>
      </c>
      <c r="DC89" s="49">
        <f t="shared" si="15"/>
        <v>36869.866666666669</v>
      </c>
      <c r="DD89" s="5">
        <f t="shared" si="22"/>
        <v>1</v>
      </c>
      <c r="DE89" s="30" cm="1">
        <f t="array" ref="DE89">1/2*(rf-q)*DD89*dt-1/2*(sigma^2)*(DD89^2)*dt</f>
        <v>-6.2630753424657514E-4</v>
      </c>
      <c r="DF89" s="25">
        <f t="shared" si="17"/>
        <v>1.0017852178082192</v>
      </c>
      <c r="DG89" s="6">
        <f t="shared" si="18"/>
        <v>-8.9260890410958887E-4</v>
      </c>
      <c r="DH89" s="25">
        <f t="shared" si="20"/>
        <v>-1.1550582712516189E-7</v>
      </c>
      <c r="DI89">
        <v>36859.749908602898</v>
      </c>
      <c r="DJ89" s="27">
        <f t="shared" si="19"/>
        <v>36869.866666666669</v>
      </c>
    </row>
    <row r="90" spans="32:114" x14ac:dyDescent="0.25">
      <c r="AO90" s="16">
        <f>MAX((AP89*$C$15+AP91*(1-$C$15))*EXP(-$C$9*$C$13),$C$8-AO89)</f>
        <v>29983.341442052581</v>
      </c>
      <c r="AP90" s="15">
        <f>AO89*$C$14</f>
        <v>7710.2330792004386</v>
      </c>
      <c r="AQ90" s="16">
        <f>MAX((AR89*$C$15+AR91*(1-$C$15))*EXP(-$C$9*$C$13),$C$8-AQ89)</f>
        <v>29983.341442052581</v>
      </c>
      <c r="AR90" s="15">
        <f>AQ91/$C$14</f>
        <v>7710.2330792004386</v>
      </c>
      <c r="AS90" s="16">
        <f>MAX((AT89*$C$15+AT91*(1-$C$15))*EXP(-$C$9*$C$13),$C$8-AS89)</f>
        <v>29983.341442052581</v>
      </c>
      <c r="AT90" s="15">
        <f>AS91/$C$14</f>
        <v>7710.2330792004386</v>
      </c>
      <c r="AU90" s="16">
        <f>MAX((AV89*$C$15+AV91*(1-$C$15))*EXP(-$C$9*$C$13),$C$8-AU89)</f>
        <v>29983.341442052581</v>
      </c>
      <c r="AV90" s="15">
        <f>AU91/$C$14</f>
        <v>7710.2330792004386</v>
      </c>
      <c r="AW90" s="16">
        <f>MAX((AX89*$C$15+AX91*(1-$C$15))*EXP(-$C$9*$C$13),$C$8-AW89)</f>
        <v>29983.341442052581</v>
      </c>
      <c r="AX90" s="15">
        <f>AW91/$C$14</f>
        <v>7710.2330792004386</v>
      </c>
      <c r="AY90" s="16">
        <f>MAX((AZ89*$C$15+AZ91*(1-$C$15))*EXP(-$C$9*$C$13),$C$8-AY89)</f>
        <v>29983.341442052581</v>
      </c>
      <c r="AZ90" s="15">
        <f>AY91/$C$14</f>
        <v>7710.2330792004386</v>
      </c>
      <c r="BA90" s="16">
        <f>MAX((BB89*$C$15+BB91*(1-$C$15))*EXP(-$C$9*$C$13),$C$8-BA89)</f>
        <v>29983.341442052581</v>
      </c>
      <c r="BB90" s="15">
        <f>BA91/$C$14</f>
        <v>7710.2330792004386</v>
      </c>
      <c r="BD90" s="17">
        <f t="shared" si="21"/>
        <v>9.5951691037043929E-11</v>
      </c>
      <c r="BE90" s="50">
        <v>38000</v>
      </c>
      <c r="BF90" s="50">
        <v>38000</v>
      </c>
      <c r="BG90" s="50">
        <v>38000</v>
      </c>
      <c r="BH90" s="50">
        <v>38000</v>
      </c>
      <c r="BI90" s="50">
        <v>38000</v>
      </c>
      <c r="BJ90" s="50">
        <v>38000</v>
      </c>
      <c r="BK90" s="50">
        <v>38000</v>
      </c>
      <c r="BL90" s="50">
        <v>38000</v>
      </c>
      <c r="BM90" s="50">
        <v>38000</v>
      </c>
      <c r="BN90" s="50">
        <v>38000</v>
      </c>
      <c r="BO90" s="50">
        <v>38000</v>
      </c>
      <c r="BP90" s="50">
        <v>38000</v>
      </c>
      <c r="BQ90" s="50">
        <v>38000</v>
      </c>
      <c r="BR90" s="50">
        <v>38000</v>
      </c>
      <c r="BS90" s="50">
        <v>38000</v>
      </c>
      <c r="BT90" s="50">
        <v>38000</v>
      </c>
      <c r="BU90" s="50">
        <v>38000</v>
      </c>
      <c r="BV90" s="50">
        <v>38000</v>
      </c>
      <c r="BW90" s="50">
        <v>38000</v>
      </c>
      <c r="BX90" s="50">
        <v>38000</v>
      </c>
      <c r="BY90" s="50">
        <v>38000</v>
      </c>
      <c r="BZ90" s="50">
        <v>38000</v>
      </c>
      <c r="CA90" s="50">
        <v>38000</v>
      </c>
      <c r="CB90" s="50">
        <v>38000</v>
      </c>
      <c r="CC90" s="50">
        <v>38000</v>
      </c>
      <c r="CD90" s="50">
        <v>38000</v>
      </c>
      <c r="CE90" s="50">
        <v>38000</v>
      </c>
      <c r="CF90" s="50">
        <v>38000</v>
      </c>
      <c r="CG90" s="50">
        <v>38000</v>
      </c>
      <c r="CH90" s="50">
        <v>38000</v>
      </c>
      <c r="CI90" s="50">
        <v>38000</v>
      </c>
      <c r="CJ90" s="50">
        <v>38000</v>
      </c>
      <c r="CK90" s="50">
        <v>38000</v>
      </c>
      <c r="CL90" s="50">
        <v>38000</v>
      </c>
      <c r="CM90" s="50">
        <v>38000</v>
      </c>
      <c r="CN90" s="50">
        <v>38000</v>
      </c>
      <c r="CO90" s="50">
        <v>38000</v>
      </c>
      <c r="CP90" s="50">
        <v>38000</v>
      </c>
      <c r="CQ90" s="50">
        <v>38000</v>
      </c>
      <c r="CR90" s="50">
        <v>38000</v>
      </c>
      <c r="CS90" s="50">
        <v>38000</v>
      </c>
      <c r="CT90" s="50">
        <v>38000</v>
      </c>
      <c r="CU90" s="50">
        <v>38000</v>
      </c>
      <c r="CV90" s="50">
        <v>38000</v>
      </c>
      <c r="CW90" s="50">
        <v>38000</v>
      </c>
      <c r="CX90" s="50">
        <v>38000</v>
      </c>
      <c r="CY90" s="50">
        <v>38000</v>
      </c>
      <c r="CZ90" s="50">
        <v>38000</v>
      </c>
      <c r="DA90" s="50">
        <v>38000</v>
      </c>
      <c r="DB90" s="50">
        <v>38000</v>
      </c>
      <c r="DC90" s="51">
        <f t="shared" si="15"/>
        <v>38000</v>
      </c>
      <c r="DD90" s="5">
        <f t="shared" si="22"/>
        <v>0</v>
      </c>
      <c r="DE90" s="30" cm="1">
        <f t="array" ref="DE90">1/2*(rf-q)*DD90*dt-1/2*(sigma^2)*(DD90^2)*dt</f>
        <v>0</v>
      </c>
      <c r="DF90" s="25">
        <f t="shared" si="17"/>
        <v>1.0002663013698629</v>
      </c>
      <c r="DG90" s="6">
        <f t="shared" si="18"/>
        <v>0</v>
      </c>
      <c r="DH90" s="25">
        <f t="shared" si="20"/>
        <v>-1.1550582712516189E-7</v>
      </c>
      <c r="DI90">
        <v>37989.88324193623</v>
      </c>
      <c r="DJ90" s="27">
        <f t="shared" si="19"/>
        <v>38000</v>
      </c>
    </row>
    <row r="91" spans="32:114" x14ac:dyDescent="0.25">
      <c r="AP91" s="16">
        <f>MAX((AQ90*$C$15+AQ92*(1-$C$15))*EXP(-$C$9*$C$13),$C$8-AP90)</f>
        <v>30289.76692079956</v>
      </c>
      <c r="AQ91" s="15">
        <f>AP90*$C$14</f>
        <v>7415.5202826572213</v>
      </c>
      <c r="AR91" s="16">
        <f>MAX((AS90*$C$15+AS92*(1-$C$15))*EXP(-$C$9*$C$13),$C$8-AR90)</f>
        <v>30289.76692079956</v>
      </c>
      <c r="AS91" s="15">
        <f>AR92/$C$14</f>
        <v>7415.5202826572213</v>
      </c>
      <c r="AT91" s="16">
        <f>MAX((AU90*$C$15+AU92*(1-$C$15))*EXP(-$C$9*$C$13),$C$8-AT90)</f>
        <v>30289.76692079956</v>
      </c>
      <c r="AU91" s="15">
        <f>AT92/$C$14</f>
        <v>7415.5202826572213</v>
      </c>
      <c r="AV91" s="16">
        <f>MAX((AW90*$C$15+AW92*(1-$C$15))*EXP(-$C$9*$C$13),$C$8-AV90)</f>
        <v>30289.76692079956</v>
      </c>
      <c r="AW91" s="15">
        <f>AV92/$C$14</f>
        <v>7415.5202826572213</v>
      </c>
      <c r="AX91" s="16">
        <f>MAX((AY90*$C$15+AY92*(1-$C$15))*EXP(-$C$9*$C$13),$C$8-AX90)</f>
        <v>30289.76692079956</v>
      </c>
      <c r="AY91" s="15">
        <f>AX92/$C$14</f>
        <v>7415.5202826572213</v>
      </c>
      <c r="AZ91" s="16">
        <f>MAX((BA90*$C$15+BA92*(1-$C$15))*EXP(-$C$9*$C$13),$C$8-AZ90)</f>
        <v>30289.76692079956</v>
      </c>
      <c r="BA91" s="15">
        <f>AZ92/$C$14</f>
        <v>7415.5202826572213</v>
      </c>
      <c r="BB91" s="16">
        <f>MAX(0,$C$8-BB90)</f>
        <v>30289.76692079956</v>
      </c>
      <c r="BD91" s="25"/>
      <c r="BE91" s="25"/>
      <c r="BF91" s="25"/>
      <c r="BG91" s="25"/>
      <c r="BH91" s="25"/>
      <c r="BI91" s="25"/>
      <c r="BJ91" s="25"/>
      <c r="BK91" s="25"/>
      <c r="BL91" s="25"/>
      <c r="BM91" s="25"/>
      <c r="BN91" s="25"/>
      <c r="BO91" s="25"/>
      <c r="BP91" s="25"/>
      <c r="BQ91" s="25"/>
      <c r="BR91" s="25"/>
      <c r="BS91" s="25"/>
      <c r="BT91" s="25"/>
      <c r="BU91" s="25"/>
      <c r="BV91" s="25"/>
      <c r="BW91" s="25"/>
      <c r="BX91" s="25"/>
      <c r="BY91" s="25"/>
      <c r="BZ91" s="25"/>
      <c r="CA91" s="25"/>
      <c r="CB91" s="25"/>
      <c r="CC91" s="25"/>
      <c r="CD91" s="25"/>
      <c r="CE91" s="25"/>
      <c r="CF91" s="25"/>
      <c r="CG91" s="25"/>
      <c r="CH91" s="25"/>
      <c r="CI91" s="25"/>
      <c r="CJ91" s="25"/>
      <c r="CK91" s="25"/>
      <c r="CL91" s="25"/>
      <c r="CM91" s="25"/>
      <c r="CN91" s="25"/>
      <c r="CO91" s="25"/>
      <c r="CP91" s="25"/>
      <c r="CQ91" s="25"/>
      <c r="CR91" s="25"/>
      <c r="CS91" s="25"/>
      <c r="CT91" s="25"/>
      <c r="CU91" s="25"/>
      <c r="CV91" s="25"/>
      <c r="CW91" s="25"/>
      <c r="CX91" s="25"/>
      <c r="CY91" s="25"/>
      <c r="CZ91" s="25"/>
      <c r="DA91" s="25"/>
      <c r="DB91" s="25"/>
      <c r="DC91" s="25"/>
      <c r="DD91" s="25"/>
      <c r="DE91" s="22"/>
      <c r="DF91" s="25"/>
      <c r="DG91" s="25"/>
      <c r="DH91" s="25"/>
      <c r="DI91" s="25"/>
      <c r="DJ91" s="22"/>
    </row>
    <row r="92" spans="32:114" x14ac:dyDescent="0.25">
      <c r="AQ92" s="16">
        <f>MAX((AR91*$C$15+AR93*(1-$C$15))*EXP(-$C$9*$C$13),$C$8-AQ91)</f>
        <v>30584.47971734278</v>
      </c>
      <c r="AR92" s="15">
        <f>AQ91*$C$14</f>
        <v>7132.0724675424681</v>
      </c>
      <c r="AS92" s="16">
        <f>MAX((AT91*$C$15+AT93*(1-$C$15))*EXP(-$C$9*$C$13),$C$8-AS91)</f>
        <v>30584.47971734278</v>
      </c>
      <c r="AT92" s="15">
        <f>AS93/$C$14</f>
        <v>7132.0724675424681</v>
      </c>
      <c r="AU92" s="16">
        <f>MAX((AV91*$C$15+AV93*(1-$C$15))*EXP(-$C$9*$C$13),$C$8-AU91)</f>
        <v>30584.47971734278</v>
      </c>
      <c r="AV92" s="15">
        <f>AU93/$C$14</f>
        <v>7132.0724675424681</v>
      </c>
      <c r="AW92" s="16">
        <f>MAX((AX91*$C$15+AX93*(1-$C$15))*EXP(-$C$9*$C$13),$C$8-AW91)</f>
        <v>30584.47971734278</v>
      </c>
      <c r="AX92" s="15">
        <f>AW93/$C$14</f>
        <v>7132.0724675424681</v>
      </c>
      <c r="AY92" s="16">
        <f>MAX((AZ91*$C$15+AZ93*(1-$C$15))*EXP(-$C$9*$C$13),$C$8-AY91)</f>
        <v>30584.47971734278</v>
      </c>
      <c r="AZ92" s="15">
        <f>AY93/$C$14</f>
        <v>7132.0724675424681</v>
      </c>
      <c r="BA92" s="16">
        <f>MAX((BB91*$C$15+BB93*(1-$C$15))*EXP(-$C$9*$C$13),$C$8-BA91)</f>
        <v>30584.47971734278</v>
      </c>
      <c r="BB92" s="15">
        <f>BA93/$C$14</f>
        <v>7132.0724675424681</v>
      </c>
      <c r="BD92" s="25"/>
      <c r="BE92" s="25"/>
      <c r="BF92" s="25"/>
      <c r="BG92" s="25"/>
      <c r="BH92" s="25"/>
      <c r="BI92" s="25"/>
      <c r="BJ92" s="25"/>
      <c r="BK92" s="25"/>
      <c r="BL92" s="25"/>
      <c r="BM92" s="25"/>
      <c r="BN92" s="25"/>
      <c r="BO92" s="25"/>
      <c r="BP92" s="25"/>
      <c r="BQ92" s="25"/>
      <c r="BR92" s="25"/>
      <c r="BS92" s="25"/>
      <c r="BT92" s="25"/>
      <c r="BU92" s="25"/>
      <c r="BV92" s="25"/>
      <c r="BW92" s="25"/>
      <c r="BX92" s="25"/>
      <c r="BY92" s="25"/>
      <c r="BZ92" s="25"/>
      <c r="CA92" s="25"/>
      <c r="CB92" s="25"/>
      <c r="CC92" s="25"/>
      <c r="CD92" s="25"/>
      <c r="CE92" s="25"/>
      <c r="CF92" s="25"/>
      <c r="CG92" s="25"/>
      <c r="CH92" s="25"/>
      <c r="CI92" s="25"/>
      <c r="CJ92" s="25"/>
      <c r="CK92" s="25"/>
      <c r="CL92" s="25"/>
      <c r="CM92" s="25"/>
      <c r="CN92" s="25"/>
      <c r="CO92" s="25"/>
      <c r="CP92" s="25"/>
      <c r="CQ92" s="25"/>
      <c r="CR92" s="25"/>
      <c r="CS92" s="25"/>
      <c r="CT92" s="25"/>
      <c r="CU92" s="25"/>
      <c r="CV92" s="25"/>
      <c r="CW92" s="25"/>
      <c r="CX92" s="25"/>
      <c r="CY92" s="25"/>
      <c r="CZ92" s="25"/>
      <c r="DA92" s="25"/>
      <c r="DB92" s="25"/>
      <c r="DC92" s="25"/>
      <c r="DD92" s="25"/>
      <c r="DE92" s="22"/>
      <c r="DF92" s="25"/>
      <c r="DG92" s="25"/>
      <c r="DH92" s="25"/>
      <c r="DI92" s="25"/>
      <c r="DJ92" s="22"/>
    </row>
    <row r="93" spans="32:114" x14ac:dyDescent="0.25">
      <c r="AR93" s="16">
        <f>MAX((AS92*$C$15+AS94*(1-$C$15))*EXP(-$C$9*$C$13),$C$8-AR92)</f>
        <v>30867.927532457532</v>
      </c>
      <c r="AS93" s="15">
        <f>AR92*$C$14</f>
        <v>6859.459045812253</v>
      </c>
      <c r="AT93" s="16">
        <f>MAX((AU92*$C$15+AU94*(1-$C$15))*EXP(-$C$9*$C$13),$C$8-AT92)</f>
        <v>30867.927532457532</v>
      </c>
      <c r="AU93" s="15">
        <f>AT94/$C$14</f>
        <v>6859.459045812253</v>
      </c>
      <c r="AV93" s="16">
        <f>MAX((AW92*$C$15+AW94*(1-$C$15))*EXP(-$C$9*$C$13),$C$8-AV92)</f>
        <v>30867.927532457532</v>
      </c>
      <c r="AW93" s="15">
        <f>AV94/$C$14</f>
        <v>6859.459045812253</v>
      </c>
      <c r="AX93" s="16">
        <f>MAX((AY92*$C$15+AY94*(1-$C$15))*EXP(-$C$9*$C$13),$C$8-AX92)</f>
        <v>30867.927532457532</v>
      </c>
      <c r="AY93" s="15">
        <f>AX94/$C$14</f>
        <v>6859.459045812253</v>
      </c>
      <c r="AZ93" s="16">
        <f>MAX((BA92*$C$15+BA94*(1-$C$15))*EXP(-$C$9*$C$13),$C$8-AZ92)</f>
        <v>30867.927532457532</v>
      </c>
      <c r="BA93" s="15">
        <f>AZ94/$C$14</f>
        <v>6859.459045812253</v>
      </c>
      <c r="BB93" s="16">
        <f>MAX(0,$C$8-BB92)</f>
        <v>30867.927532457532</v>
      </c>
      <c r="BD93" s="25"/>
      <c r="BE93" s="25"/>
      <c r="BF93" s="25"/>
      <c r="BG93" s="25"/>
      <c r="BH93" s="25"/>
      <c r="BI93" s="25"/>
      <c r="BJ93" s="25"/>
      <c r="BK93" s="25"/>
      <c r="BL93" s="25"/>
      <c r="BM93" s="25"/>
      <c r="BN93" s="25"/>
      <c r="BO93" s="25"/>
      <c r="BP93" s="25"/>
      <c r="BQ93" s="25"/>
      <c r="BR93" s="25"/>
      <c r="BS93" s="25"/>
      <c r="BT93" s="25"/>
      <c r="BU93" s="25"/>
      <c r="BV93" s="25"/>
      <c r="BW93" s="25"/>
      <c r="BX93" s="25"/>
      <c r="BY93" s="25"/>
      <c r="BZ93" s="25"/>
      <c r="CA93" s="25"/>
      <c r="CB93" s="25"/>
      <c r="CC93" s="25"/>
      <c r="CD93" s="25"/>
      <c r="CE93" s="25"/>
      <c r="CF93" s="25"/>
      <c r="CG93" s="25"/>
      <c r="CH93" s="25"/>
      <c r="CI93" s="25"/>
      <c r="CJ93" s="25"/>
      <c r="CK93" s="25"/>
      <c r="CL93" s="25"/>
      <c r="CM93" s="25"/>
      <c r="CN93" s="25"/>
      <c r="CO93" s="25"/>
      <c r="CP93" s="25"/>
      <c r="CQ93" s="25"/>
      <c r="CR93" s="25"/>
      <c r="CS93" s="25"/>
      <c r="CT93" s="25"/>
      <c r="CU93" s="25"/>
      <c r="CV93" s="25"/>
      <c r="CW93" s="25"/>
      <c r="CX93" s="25"/>
      <c r="CY93" s="25"/>
      <c r="CZ93" s="25"/>
      <c r="DA93" s="25"/>
      <c r="DB93" s="25"/>
      <c r="DC93" s="25"/>
      <c r="DD93" s="25"/>
      <c r="DE93" s="22"/>
      <c r="DF93" s="25"/>
      <c r="DG93" s="25"/>
      <c r="DH93" s="25"/>
      <c r="DI93" s="25"/>
      <c r="DJ93" s="22"/>
    </row>
    <row r="94" spans="32:114" x14ac:dyDescent="0.25">
      <c r="AS94" s="16">
        <f>MAX((AT93*$C$15+AT95*(1-$C$15))*EXP(-$C$9*$C$13),$C$8-AS93)</f>
        <v>31140.540954187745</v>
      </c>
      <c r="AT94" s="15">
        <f>AS93*$C$14</f>
        <v>6597.2658880439749</v>
      </c>
      <c r="AU94" s="16">
        <f>MAX((AV93*$C$15+AV95*(1-$C$15))*EXP(-$C$9*$C$13),$C$8-AU93)</f>
        <v>31140.540954187745</v>
      </c>
      <c r="AV94" s="15">
        <f>AU95/$C$14</f>
        <v>6597.2658880439749</v>
      </c>
      <c r="AW94" s="16">
        <f>MAX((AX93*$C$15+AX95*(1-$C$15))*EXP(-$C$9*$C$13),$C$8-AW93)</f>
        <v>31140.540954187745</v>
      </c>
      <c r="AX94" s="15">
        <f>AW95/$C$14</f>
        <v>6597.2658880439749</v>
      </c>
      <c r="AY94" s="16">
        <f>MAX((AZ93*$C$15+AZ95*(1-$C$15))*EXP(-$C$9*$C$13),$C$8-AY93)</f>
        <v>31140.540954187745</v>
      </c>
      <c r="AZ94" s="15">
        <f>AY95/$C$14</f>
        <v>6597.2658880439749</v>
      </c>
      <c r="BA94" s="16">
        <f>MAX((BB93*$C$15+BB95*(1-$C$15))*EXP(-$C$9*$C$13),$C$8-BA93)</f>
        <v>31140.540954187745</v>
      </c>
      <c r="BB94" s="15">
        <f>BA95/$C$14</f>
        <v>6597.2658880439749</v>
      </c>
      <c r="BD94" s="25"/>
      <c r="BE94" s="25"/>
      <c r="BF94" s="25"/>
      <c r="BG94" s="25"/>
      <c r="BH94" s="25"/>
      <c r="BI94" s="25"/>
      <c r="BJ94" s="25"/>
      <c r="BK94" s="25"/>
      <c r="BL94" s="25"/>
      <c r="BM94" s="25"/>
      <c r="BN94" s="25"/>
      <c r="BO94" s="25"/>
      <c r="BP94" s="25"/>
      <c r="BQ94" s="25"/>
      <c r="BR94" s="25"/>
      <c r="BS94" s="25"/>
      <c r="BT94" s="25"/>
      <c r="BU94" s="25"/>
      <c r="BV94" s="25"/>
      <c r="BW94" s="25"/>
      <c r="BX94" s="25"/>
      <c r="BY94" s="25"/>
      <c r="BZ94" s="25"/>
      <c r="CA94" s="25"/>
      <c r="CB94" s="25"/>
      <c r="CC94" s="25"/>
      <c r="CD94" s="25"/>
      <c r="CE94" s="25"/>
      <c r="CF94" s="25"/>
      <c r="CG94" s="25"/>
      <c r="CH94" s="25"/>
      <c r="CI94" s="25"/>
      <c r="CJ94" s="25"/>
      <c r="CK94" s="25"/>
      <c r="CL94" s="25"/>
      <c r="CM94" s="25"/>
      <c r="CN94" s="25"/>
      <c r="CO94" s="25"/>
      <c r="CP94" s="25"/>
      <c r="CQ94" s="25"/>
      <c r="CR94" s="25"/>
      <c r="CS94" s="25"/>
      <c r="CT94" s="25"/>
      <c r="CU94" s="25"/>
      <c r="CV94" s="25"/>
      <c r="CW94" s="25"/>
      <c r="CX94" s="25"/>
      <c r="CY94" s="25"/>
      <c r="CZ94" s="25"/>
      <c r="DA94" s="25"/>
      <c r="DB94" s="25"/>
      <c r="DC94" s="25"/>
      <c r="DD94" s="25"/>
      <c r="DE94" s="22"/>
      <c r="DF94" s="25"/>
      <c r="DG94" s="25"/>
      <c r="DH94" s="25"/>
      <c r="DI94" s="25"/>
      <c r="DJ94" s="22"/>
    </row>
    <row r="95" spans="32:114" x14ac:dyDescent="0.25">
      <c r="AT95" s="16">
        <f>MAX((AU94*$C$15+AU96*(1-$C$15))*EXP(-$C$9*$C$13),$C$8-AT94)</f>
        <v>31402.734111956026</v>
      </c>
      <c r="AU95" s="15">
        <f>AT94*$C$14</f>
        <v>6345.0946943287472</v>
      </c>
      <c r="AV95" s="16">
        <f>MAX((AW94*$C$15+AW96*(1-$C$15))*EXP(-$C$9*$C$13),$C$8-AV94)</f>
        <v>31402.734111956026</v>
      </c>
      <c r="AW95" s="15">
        <f>AV96/$C$14</f>
        <v>6345.0946943287472</v>
      </c>
      <c r="AX95" s="16">
        <f>MAX((AY94*$C$15+AY96*(1-$C$15))*EXP(-$C$9*$C$13),$C$8-AX94)</f>
        <v>31402.734111956026</v>
      </c>
      <c r="AY95" s="15">
        <f>AX96/$C$14</f>
        <v>6345.0946943287472</v>
      </c>
      <c r="AZ95" s="16">
        <f>MAX((BA94*$C$15+BA96*(1-$C$15))*EXP(-$C$9*$C$13),$C$8-AZ94)</f>
        <v>31402.734111956026</v>
      </c>
      <c r="BA95" s="15">
        <f>AZ96/$C$14</f>
        <v>6345.0946943287472</v>
      </c>
      <c r="BB95" s="16">
        <f>MAX(0,$C$8-BB94)</f>
        <v>31402.734111956026</v>
      </c>
      <c r="BD95" s="25"/>
      <c r="BE95" s="25"/>
      <c r="BF95" s="25"/>
      <c r="BG95" s="25"/>
      <c r="BH95" s="25"/>
      <c r="BI95" s="25"/>
      <c r="BJ95" s="25"/>
      <c r="BK95" s="25"/>
      <c r="BL95" s="25"/>
      <c r="BM95" s="25"/>
      <c r="BN95" s="25"/>
      <c r="BO95" s="25"/>
      <c r="BP95" s="25"/>
      <c r="BQ95" s="25"/>
      <c r="BR95" s="25"/>
      <c r="BS95" s="25"/>
      <c r="BT95" s="25"/>
      <c r="BU95" s="25"/>
      <c r="BV95" s="25"/>
      <c r="BW95" s="25"/>
      <c r="BX95" s="25"/>
      <c r="BY95" s="25"/>
      <c r="BZ95" s="25"/>
      <c r="CA95" s="25"/>
      <c r="CB95" s="25"/>
      <c r="CC95" s="25"/>
      <c r="CD95" s="25"/>
      <c r="CE95" s="25"/>
      <c r="CF95" s="25"/>
      <c r="CG95" s="25"/>
      <c r="CH95" s="25"/>
      <c r="CI95" s="25"/>
      <c r="CJ95" s="25"/>
      <c r="CK95" s="25"/>
      <c r="CL95" s="25"/>
      <c r="CM95" s="25"/>
      <c r="CN95" s="25"/>
      <c r="CO95" s="25"/>
      <c r="CP95" s="25"/>
      <c r="CQ95" s="25"/>
      <c r="CR95" s="25"/>
      <c r="CS95" s="25"/>
      <c r="CT95" s="25"/>
      <c r="CU95" s="25"/>
      <c r="CV95" s="25"/>
      <c r="CW95" s="25"/>
      <c r="CX95" s="25"/>
      <c r="CY95" s="25"/>
      <c r="CZ95" s="25"/>
      <c r="DA95" s="25"/>
      <c r="DB95" s="25"/>
      <c r="DC95" s="25"/>
      <c r="DD95" s="25"/>
      <c r="DE95" s="22"/>
      <c r="DF95" s="25"/>
      <c r="DG95" s="25"/>
      <c r="DH95" s="25"/>
      <c r="DI95" s="25"/>
      <c r="DJ95" s="22"/>
    </row>
    <row r="96" spans="32:114" x14ac:dyDescent="0.25">
      <c r="AU96" s="16">
        <f>MAX((AV95*$C$15+AV97*(1-$C$15))*EXP(-$C$9*$C$13),$C$8-AU95)</f>
        <v>31654.905305671251</v>
      </c>
      <c r="AV96" s="15">
        <f>AU95*$C$14</f>
        <v>6102.5623892105377</v>
      </c>
      <c r="AW96" s="16">
        <f>MAX((AX95*$C$15+AX97*(1-$C$15))*EXP(-$C$9*$C$13),$C$8-AW95)</f>
        <v>31654.905305671251</v>
      </c>
      <c r="AX96" s="15">
        <f>AW97/$C$14</f>
        <v>6102.5623892105377</v>
      </c>
      <c r="AY96" s="16">
        <f>MAX((AZ95*$C$15+AZ97*(1-$C$15))*EXP(-$C$9*$C$13),$C$8-AY95)</f>
        <v>31654.905305671251</v>
      </c>
      <c r="AZ96" s="15">
        <f>AY97/$C$14</f>
        <v>6102.5623892105377</v>
      </c>
      <c r="BA96" s="16">
        <f>MAX((BB95*$C$15+BB97*(1-$C$15))*EXP(-$C$9*$C$13),$C$8-BA95)</f>
        <v>31654.905305671251</v>
      </c>
      <c r="BB96" s="15">
        <f>BA97/$C$14</f>
        <v>6102.5623892105368</v>
      </c>
      <c r="BD96" s="25"/>
      <c r="BE96" s="25"/>
      <c r="BF96" s="25"/>
      <c r="BG96" s="25"/>
      <c r="BH96" s="25"/>
      <c r="BI96" s="25"/>
      <c r="BJ96" s="25"/>
      <c r="BK96" s="25"/>
      <c r="BL96" s="25"/>
      <c r="BM96" s="25"/>
      <c r="BN96" s="25"/>
      <c r="BO96" s="25"/>
      <c r="BP96" s="25"/>
      <c r="BQ96" s="25"/>
      <c r="BR96" s="25"/>
      <c r="BS96" s="25"/>
      <c r="BT96" s="25"/>
      <c r="BU96" s="25"/>
      <c r="BV96" s="25"/>
      <c r="BW96" s="25"/>
      <c r="BX96" s="25"/>
      <c r="BY96" s="25"/>
      <c r="BZ96" s="25"/>
      <c r="CA96" s="25"/>
      <c r="CB96" s="25"/>
      <c r="CC96" s="25"/>
      <c r="CD96" s="25"/>
      <c r="CE96" s="25"/>
      <c r="CF96" s="25"/>
      <c r="CG96" s="25"/>
      <c r="CH96" s="25"/>
      <c r="CI96" s="25"/>
      <c r="CJ96" s="25"/>
      <c r="CK96" s="25"/>
      <c r="CL96" s="25"/>
      <c r="CM96" s="25"/>
      <c r="CN96" s="25"/>
      <c r="CO96" s="25"/>
      <c r="CP96" s="25"/>
      <c r="CQ96" s="25"/>
      <c r="CR96" s="25"/>
      <c r="CS96" s="25"/>
      <c r="CT96" s="25"/>
      <c r="CU96" s="25"/>
      <c r="CV96" s="25"/>
      <c r="CW96" s="25"/>
      <c r="CX96" s="25"/>
      <c r="CY96" s="25"/>
      <c r="CZ96" s="25"/>
      <c r="DA96" s="25"/>
      <c r="DB96" s="25"/>
      <c r="DC96" s="25"/>
      <c r="DD96" s="25"/>
      <c r="DE96" s="22"/>
      <c r="DF96" s="25"/>
      <c r="DG96" s="25"/>
      <c r="DH96" s="25"/>
      <c r="DI96" s="25"/>
      <c r="DJ96" s="25"/>
    </row>
    <row r="97" spans="1:113" x14ac:dyDescent="0.25">
      <c r="AV97" s="16">
        <f>MAX((AW96*$C$15+AW98*(1-$C$15))*EXP(-$C$9*$C$13),$C$8-AV96)</f>
        <v>31897.437610789464</v>
      </c>
      <c r="AW97" s="15">
        <f>AV96*$C$14</f>
        <v>5869.3005397529078</v>
      </c>
      <c r="AX97" s="16">
        <f>MAX((AY96*$C$15+AY98*(1-$C$15))*EXP(-$C$9*$C$13),$C$8-AX96)</f>
        <v>31897.437610789464</v>
      </c>
      <c r="AY97" s="15">
        <f>AX98/$C$14</f>
        <v>5869.3005397529078</v>
      </c>
      <c r="AZ97" s="16">
        <f>MAX((BA96*$C$15+BA98*(1-$C$15))*EXP(-$C$9*$C$13),$C$8-AZ96)</f>
        <v>31897.437610789464</v>
      </c>
      <c r="BA97" s="15">
        <f>AZ98/$C$14</f>
        <v>5869.3005397529068</v>
      </c>
      <c r="BB97" s="16">
        <f>MAX(0,$C$8-BB96)</f>
        <v>31897.437610789464</v>
      </c>
    </row>
    <row r="98" spans="1:113" x14ac:dyDescent="0.25">
      <c r="AW98" s="16">
        <f>MAX((AX97*$C$15+AX99*(1-$C$15))*EXP(-$C$9*$C$13),$C$8-AW97)</f>
        <v>32130.699460247091</v>
      </c>
      <c r="AX98" s="15">
        <f>AW97*$C$14</f>
        <v>5644.9547958493304</v>
      </c>
      <c r="AY98" s="16">
        <f>MAX((AZ97*$C$15+AZ99*(1-$C$15))*EXP(-$C$9*$C$13),$C$8-AY97)</f>
        <v>32130.699460247091</v>
      </c>
      <c r="AZ98" s="15">
        <f>AY99/$C$14</f>
        <v>5644.9547958493295</v>
      </c>
      <c r="BA98" s="16">
        <f>MAX((BB97*$C$15+BB99*(1-$C$15))*EXP(-$C$9*$C$13),$C$8-BA97)</f>
        <v>32130.699460247095</v>
      </c>
      <c r="BB98" s="15">
        <f>BA99/$C$14</f>
        <v>5644.9547958493295</v>
      </c>
    </row>
    <row r="99" spans="1:113" x14ac:dyDescent="0.25">
      <c r="AX99" s="16">
        <f>MAX((AY98*$C$15+AY100*(1-$C$15))*EXP(-$C$9*$C$13),$C$8-AX98)</f>
        <v>32355.045204150669</v>
      </c>
      <c r="AY99" s="15">
        <f>AX98*$C$14</f>
        <v>5429.1843519268587</v>
      </c>
      <c r="AZ99" s="16">
        <f>MAX((BA98*$C$15+BA100*(1-$C$15))*EXP(-$C$9*$C$13),$C$8-AZ98)</f>
        <v>32355.045204150672</v>
      </c>
      <c r="BA99" s="15">
        <f>AZ100/$C$14</f>
        <v>5429.1843519268587</v>
      </c>
      <c r="BB99" s="16">
        <f>MAX(0,$C$8-BB98)</f>
        <v>32355.045204150672</v>
      </c>
    </row>
    <row r="100" spans="1:113" x14ac:dyDescent="0.25">
      <c r="AY100" s="16">
        <f>MAX((AZ99*$C$15+AZ101*(1-$C$15))*EXP(-$C$9*$C$13),$C$8-AY99)</f>
        <v>32570.815648073141</v>
      </c>
      <c r="AZ100" s="15">
        <f>AY99*$C$14</f>
        <v>5221.6614292254135</v>
      </c>
      <c r="BA100" s="16">
        <f>MAX((BB99*$C$15+BB101*(1-$C$15))*EXP(-$C$9*$C$13),$C$8-BA99)</f>
        <v>32570.815648073141</v>
      </c>
      <c r="BB100" s="15">
        <f>BA101/$C$14</f>
        <v>5221.6614292254135</v>
      </c>
    </row>
    <row r="101" spans="1:113" x14ac:dyDescent="0.25">
      <c r="AZ101" s="16">
        <f>MAX((BA100*$C$15+BA102*(1-$C$15))*EXP(-$C$9*$C$13),$C$8-AZ100)</f>
        <v>32778.338570774584</v>
      </c>
      <c r="BA101" s="15">
        <f>AZ100*$C$14</f>
        <v>5022.0707778662127</v>
      </c>
      <c r="BB101" s="16">
        <f>MAX(0,$C$8-BB100)</f>
        <v>32778.338570774584</v>
      </c>
    </row>
    <row r="102" spans="1:113" x14ac:dyDescent="0.25">
      <c r="BA102" s="16">
        <f>MAX((BB101*$C$15+BB103*(1-$C$15))*EXP(-$C$9*$C$13),$C$8-BA101)</f>
        <v>32977.929222133789</v>
      </c>
      <c r="BB102" s="15">
        <f>BA101*$C$14</f>
        <v>4830.1091979529365</v>
      </c>
    </row>
    <row r="103" spans="1:113" ht="15.75" thickBot="1" x14ac:dyDescent="0.3">
      <c r="BB103" s="23">
        <f>MAX(0,$C$8-BB102)</f>
        <v>33169.890802047063</v>
      </c>
    </row>
    <row r="104" spans="1:113" ht="15.75" thickTop="1" x14ac:dyDescent="0.25">
      <c r="A104" s="31"/>
      <c r="B104" s="31"/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2">
        <f>BA105/$C$14</f>
        <v>237982.44902768754</v>
      </c>
      <c r="BC104" s="31"/>
      <c r="BD104" s="32" t="s">
        <v>11</v>
      </c>
      <c r="BE104" s="31">
        <v>0</v>
      </c>
      <c r="BF104" s="31">
        <f>BE104+1</f>
        <v>1</v>
      </c>
      <c r="BG104" s="31">
        <f t="shared" ref="BG104:DC104" si="23">BF104+1</f>
        <v>2</v>
      </c>
      <c r="BH104" s="31">
        <f t="shared" si="23"/>
        <v>3</v>
      </c>
      <c r="BI104" s="31">
        <f t="shared" si="23"/>
        <v>4</v>
      </c>
      <c r="BJ104" s="31">
        <f t="shared" si="23"/>
        <v>5</v>
      </c>
      <c r="BK104" s="31">
        <f t="shared" si="23"/>
        <v>6</v>
      </c>
      <c r="BL104" s="31">
        <f t="shared" si="23"/>
        <v>7</v>
      </c>
      <c r="BM104" s="31">
        <f t="shared" si="23"/>
        <v>8</v>
      </c>
      <c r="BN104" s="31">
        <f t="shared" si="23"/>
        <v>9</v>
      </c>
      <c r="BO104" s="31">
        <f t="shared" si="23"/>
        <v>10</v>
      </c>
      <c r="BP104" s="31">
        <f t="shared" si="23"/>
        <v>11</v>
      </c>
      <c r="BQ104" s="31">
        <f t="shared" si="23"/>
        <v>12</v>
      </c>
      <c r="BR104" s="31">
        <f t="shared" si="23"/>
        <v>13</v>
      </c>
      <c r="BS104" s="31">
        <f t="shared" si="23"/>
        <v>14</v>
      </c>
      <c r="BT104" s="31">
        <f t="shared" si="23"/>
        <v>15</v>
      </c>
      <c r="BU104" s="31">
        <f t="shared" si="23"/>
        <v>16</v>
      </c>
      <c r="BV104" s="31">
        <f t="shared" si="23"/>
        <v>17</v>
      </c>
      <c r="BW104" s="31">
        <f t="shared" si="23"/>
        <v>18</v>
      </c>
      <c r="BX104" s="31">
        <f t="shared" si="23"/>
        <v>19</v>
      </c>
      <c r="BY104" s="31">
        <f t="shared" si="23"/>
        <v>20</v>
      </c>
      <c r="BZ104" s="31">
        <f t="shared" si="23"/>
        <v>21</v>
      </c>
      <c r="CA104" s="31">
        <f t="shared" si="23"/>
        <v>22</v>
      </c>
      <c r="CB104" s="31">
        <f t="shared" si="23"/>
        <v>23</v>
      </c>
      <c r="CC104" s="31">
        <f t="shared" si="23"/>
        <v>24</v>
      </c>
      <c r="CD104" s="31">
        <f t="shared" si="23"/>
        <v>25</v>
      </c>
      <c r="CE104" s="31">
        <f t="shared" si="23"/>
        <v>26</v>
      </c>
      <c r="CF104" s="31">
        <f t="shared" si="23"/>
        <v>27</v>
      </c>
      <c r="CG104" s="31">
        <f t="shared" si="23"/>
        <v>28</v>
      </c>
      <c r="CH104" s="31">
        <f t="shared" si="23"/>
        <v>29</v>
      </c>
      <c r="CI104" s="31">
        <f t="shared" si="23"/>
        <v>30</v>
      </c>
      <c r="CJ104" s="31">
        <f t="shared" si="23"/>
        <v>31</v>
      </c>
      <c r="CK104" s="31">
        <f t="shared" si="23"/>
        <v>32</v>
      </c>
      <c r="CL104" s="31">
        <f t="shared" si="23"/>
        <v>33</v>
      </c>
      <c r="CM104" s="31">
        <f t="shared" si="23"/>
        <v>34</v>
      </c>
      <c r="CN104" s="31">
        <f t="shared" si="23"/>
        <v>35</v>
      </c>
      <c r="CO104" s="31">
        <f t="shared" si="23"/>
        <v>36</v>
      </c>
      <c r="CP104" s="31">
        <f t="shared" si="23"/>
        <v>37</v>
      </c>
      <c r="CQ104" s="31">
        <f t="shared" si="23"/>
        <v>38</v>
      </c>
      <c r="CR104" s="31">
        <f t="shared" si="23"/>
        <v>39</v>
      </c>
      <c r="CS104" s="31">
        <f t="shared" si="23"/>
        <v>40</v>
      </c>
      <c r="CT104" s="31">
        <f t="shared" si="23"/>
        <v>41</v>
      </c>
      <c r="CU104" s="31">
        <f t="shared" si="23"/>
        <v>42</v>
      </c>
      <c r="CV104" s="31">
        <f t="shared" si="23"/>
        <v>43</v>
      </c>
      <c r="CW104" s="31">
        <f t="shared" si="23"/>
        <v>44</v>
      </c>
      <c r="CX104" s="31">
        <f t="shared" si="23"/>
        <v>45</v>
      </c>
      <c r="CY104" s="31">
        <f t="shared" si="23"/>
        <v>46</v>
      </c>
      <c r="CZ104" s="31">
        <f t="shared" si="23"/>
        <v>47</v>
      </c>
      <c r="DA104" s="31">
        <f t="shared" si="23"/>
        <v>48</v>
      </c>
      <c r="DB104" s="31">
        <f t="shared" si="23"/>
        <v>49</v>
      </c>
      <c r="DC104" s="31">
        <f t="shared" si="23"/>
        <v>50</v>
      </c>
      <c r="DD104" s="32"/>
      <c r="DE104" s="31"/>
      <c r="DF104" s="31"/>
      <c r="DG104" s="33"/>
      <c r="DH104" s="31"/>
      <c r="DI104" s="33"/>
    </row>
    <row r="105" spans="1:113" x14ac:dyDescent="0.25">
      <c r="BA105" s="15">
        <f>AZ106/$C$14</f>
        <v>228885.9052058986</v>
      </c>
      <c r="BB105" s="16">
        <f>MAX(0,$C$8-BB104)</f>
        <v>0</v>
      </c>
      <c r="BD105" s="16" t="s">
        <v>19</v>
      </c>
      <c r="BE105" s="26">
        <v>0</v>
      </c>
      <c r="BF105" s="26">
        <f t="shared" ref="BF105:CK105" si="24">BE105+dt</f>
        <v>4.4383561643835615E-3</v>
      </c>
      <c r="BG105" s="26">
        <f t="shared" si="24"/>
        <v>8.876712328767123E-3</v>
      </c>
      <c r="BH105" s="26">
        <f t="shared" si="24"/>
        <v>1.3315068493150685E-2</v>
      </c>
      <c r="BI105" s="26">
        <f t="shared" si="24"/>
        <v>1.7753424657534246E-2</v>
      </c>
      <c r="BJ105" s="26">
        <f t="shared" si="24"/>
        <v>2.2191780821917806E-2</v>
      </c>
      <c r="BK105" s="26">
        <f t="shared" si="24"/>
        <v>2.6630136986301366E-2</v>
      </c>
      <c r="BL105" s="26">
        <f t="shared" si="24"/>
        <v>3.1068493150684925E-2</v>
      </c>
      <c r="BM105" s="26">
        <f t="shared" si="24"/>
        <v>3.5506849315068485E-2</v>
      </c>
      <c r="BN105" s="26">
        <f t="shared" si="24"/>
        <v>3.9945205479452045E-2</v>
      </c>
      <c r="BO105" s="26">
        <f t="shared" si="24"/>
        <v>4.4383561643835605E-2</v>
      </c>
      <c r="BP105" s="26">
        <f t="shared" si="24"/>
        <v>4.8821917808219165E-2</v>
      </c>
      <c r="BQ105" s="26">
        <f t="shared" si="24"/>
        <v>5.3260273972602724E-2</v>
      </c>
      <c r="BR105" s="26">
        <f t="shared" si="24"/>
        <v>5.7698630136986284E-2</v>
      </c>
      <c r="BS105" s="26">
        <f t="shared" si="24"/>
        <v>6.2136986301369844E-2</v>
      </c>
      <c r="BT105" s="26">
        <f t="shared" si="24"/>
        <v>6.6575342465753404E-2</v>
      </c>
      <c r="BU105" s="26">
        <f t="shared" si="24"/>
        <v>7.101369863013697E-2</v>
      </c>
      <c r="BV105" s="26">
        <f t="shared" si="24"/>
        <v>7.5452054794520537E-2</v>
      </c>
      <c r="BW105" s="26">
        <f t="shared" si="24"/>
        <v>7.9890410958904104E-2</v>
      </c>
      <c r="BX105" s="26">
        <f t="shared" si="24"/>
        <v>8.4328767123287671E-2</v>
      </c>
      <c r="BY105" s="26">
        <f t="shared" si="24"/>
        <v>8.8767123287671237E-2</v>
      </c>
      <c r="BZ105" s="26">
        <f t="shared" si="24"/>
        <v>9.3205479452054804E-2</v>
      </c>
      <c r="CA105" s="26">
        <f t="shared" si="24"/>
        <v>9.7643835616438371E-2</v>
      </c>
      <c r="CB105" s="26">
        <f t="shared" si="24"/>
        <v>0.10208219178082194</v>
      </c>
      <c r="CC105" s="26">
        <f t="shared" si="24"/>
        <v>0.1065205479452055</v>
      </c>
      <c r="CD105" s="26">
        <f t="shared" si="24"/>
        <v>0.11095890410958907</v>
      </c>
      <c r="CE105" s="26">
        <f t="shared" si="24"/>
        <v>0.11539726027397264</v>
      </c>
      <c r="CF105" s="26">
        <f t="shared" si="24"/>
        <v>0.1198356164383562</v>
      </c>
      <c r="CG105" s="26">
        <f t="shared" si="24"/>
        <v>0.12427397260273977</v>
      </c>
      <c r="CH105" s="26">
        <f t="shared" si="24"/>
        <v>0.12871232876712332</v>
      </c>
      <c r="CI105" s="26">
        <f t="shared" si="24"/>
        <v>0.13315068493150689</v>
      </c>
      <c r="CJ105" s="26">
        <f t="shared" si="24"/>
        <v>0.13758904109589046</v>
      </c>
      <c r="CK105" s="26">
        <f t="shared" si="24"/>
        <v>0.14202739726027402</v>
      </c>
      <c r="CL105" s="26">
        <f t="shared" ref="CL105:DC105" si="25">CK105+dt</f>
        <v>0.14646575342465759</v>
      </c>
      <c r="CM105" s="26">
        <f t="shared" si="25"/>
        <v>0.15090410958904116</v>
      </c>
      <c r="CN105" s="26">
        <f t="shared" si="25"/>
        <v>0.15534246575342472</v>
      </c>
      <c r="CO105" s="26">
        <f t="shared" si="25"/>
        <v>0.15978082191780829</v>
      </c>
      <c r="CP105" s="26">
        <f t="shared" si="25"/>
        <v>0.16421917808219186</v>
      </c>
      <c r="CQ105" s="26">
        <f t="shared" si="25"/>
        <v>0.16865753424657542</v>
      </c>
      <c r="CR105" s="26">
        <f t="shared" si="25"/>
        <v>0.17309589041095899</v>
      </c>
      <c r="CS105" s="26">
        <f t="shared" si="25"/>
        <v>0.17753424657534256</v>
      </c>
      <c r="CT105" s="26">
        <f t="shared" si="25"/>
        <v>0.18197260273972612</v>
      </c>
      <c r="CU105" s="26">
        <f t="shared" si="25"/>
        <v>0.18641095890410969</v>
      </c>
      <c r="CV105" s="26">
        <f t="shared" si="25"/>
        <v>0.19084931506849326</v>
      </c>
      <c r="CW105" s="26">
        <f t="shared" si="25"/>
        <v>0.19528767123287682</v>
      </c>
      <c r="CX105" s="26">
        <f t="shared" si="25"/>
        <v>0.19972602739726039</v>
      </c>
      <c r="CY105" s="26">
        <f t="shared" si="25"/>
        <v>0.20416438356164396</v>
      </c>
      <c r="CZ105" s="26">
        <f t="shared" si="25"/>
        <v>0.20860273972602753</v>
      </c>
      <c r="DA105" s="26">
        <f t="shared" si="25"/>
        <v>0.21304109589041109</v>
      </c>
      <c r="DB105" s="26">
        <f t="shared" si="25"/>
        <v>0.21747945205479466</v>
      </c>
      <c r="DC105" s="26">
        <f t="shared" si="25"/>
        <v>0.22191780821917823</v>
      </c>
      <c r="DD105" s="16" t="s">
        <v>20</v>
      </c>
      <c r="DE105" s="25" t="s">
        <v>21</v>
      </c>
      <c r="DF105" s="26" t="s">
        <v>22</v>
      </c>
      <c r="DG105" s="9" t="s">
        <v>23</v>
      </c>
      <c r="DH105" s="26" t="str" cm="1">
        <f t="array" ref="DH105:DI105">DH2:DI2</f>
        <v>wc1</v>
      </c>
      <c r="DI105" s="9" t="str">
        <v>wc2</v>
      </c>
    </row>
    <row r="106" spans="1:113" x14ac:dyDescent="0.25">
      <c r="AZ106" s="15">
        <f>AY107/$C$14</f>
        <v>220137.063955622</v>
      </c>
      <c r="BA106" s="16">
        <f>(BB105*$C$15+BB107*(1-$C$15))*EXP(-$C$9*$C$13)</f>
        <v>0</v>
      </c>
      <c r="BB106" s="15">
        <f>BA107/$C$14</f>
        <v>220137.063955622</v>
      </c>
      <c r="BD106" s="15">
        <f>BD4</f>
        <v>97191.466666666674</v>
      </c>
      <c r="BE106" s="52">
        <v>0</v>
      </c>
      <c r="BF106" s="52">
        <v>0</v>
      </c>
      <c r="BG106" s="52">
        <v>0</v>
      </c>
      <c r="BH106" s="52">
        <v>0</v>
      </c>
      <c r="BI106" s="52">
        <v>0</v>
      </c>
      <c r="BJ106" s="52">
        <v>0</v>
      </c>
      <c r="BK106" s="52">
        <v>0</v>
      </c>
      <c r="BL106" s="52">
        <v>0</v>
      </c>
      <c r="BM106" s="52">
        <v>0</v>
      </c>
      <c r="BN106" s="52">
        <v>0</v>
      </c>
      <c r="BO106" s="52">
        <v>0</v>
      </c>
      <c r="BP106" s="52">
        <v>0</v>
      </c>
      <c r="BQ106" s="52">
        <v>0</v>
      </c>
      <c r="BR106" s="52">
        <v>0</v>
      </c>
      <c r="BS106" s="52">
        <v>0</v>
      </c>
      <c r="BT106" s="52">
        <v>0</v>
      </c>
      <c r="BU106" s="52">
        <v>0</v>
      </c>
      <c r="BV106" s="52">
        <v>0</v>
      </c>
      <c r="BW106" s="52">
        <v>0</v>
      </c>
      <c r="BX106" s="52">
        <v>0</v>
      </c>
      <c r="BY106" s="52">
        <v>0</v>
      </c>
      <c r="BZ106" s="52">
        <v>0</v>
      </c>
      <c r="CA106" s="52">
        <v>0</v>
      </c>
      <c r="CB106" s="52">
        <v>0</v>
      </c>
      <c r="CC106" s="52">
        <v>0</v>
      </c>
      <c r="CD106" s="52">
        <v>0</v>
      </c>
      <c r="CE106" s="52">
        <v>0</v>
      </c>
      <c r="CF106" s="52">
        <v>0</v>
      </c>
      <c r="CG106" s="52">
        <v>0</v>
      </c>
      <c r="CH106" s="52">
        <v>0</v>
      </c>
      <c r="CI106" s="52">
        <v>0</v>
      </c>
      <c r="CJ106" s="52">
        <v>0</v>
      </c>
      <c r="CK106" s="52">
        <v>0</v>
      </c>
      <c r="CL106" s="52">
        <v>0</v>
      </c>
      <c r="CM106" s="52">
        <v>0</v>
      </c>
      <c r="CN106" s="52">
        <v>0</v>
      </c>
      <c r="CO106" s="52">
        <v>0</v>
      </c>
      <c r="CP106" s="52">
        <v>0</v>
      </c>
      <c r="CQ106" s="52">
        <v>0</v>
      </c>
      <c r="CR106" s="52">
        <v>0</v>
      </c>
      <c r="CS106" s="52">
        <v>0</v>
      </c>
      <c r="CT106" s="52">
        <v>0</v>
      </c>
      <c r="CU106" s="52">
        <v>0</v>
      </c>
      <c r="CV106" s="52">
        <v>0</v>
      </c>
      <c r="CW106" s="52">
        <v>0</v>
      </c>
      <c r="CX106" s="52">
        <v>0</v>
      </c>
      <c r="CY106" s="52">
        <v>0</v>
      </c>
      <c r="CZ106" s="52">
        <v>0</v>
      </c>
      <c r="DA106" s="52">
        <v>0</v>
      </c>
      <c r="DB106" s="52">
        <v>0</v>
      </c>
      <c r="DC106" s="53">
        <f t="shared" ref="DC106:DC137" si="26">MAX(K-DD106*ds,0)</f>
        <v>0</v>
      </c>
      <c r="DD106" s="5">
        <f>DD4</f>
        <v>86</v>
      </c>
      <c r="DE106" s="29" cm="1">
        <f t="array" ref="DE106">1/2*(rf-q)*DD106*dt-1/2*(sigma^2)*(DD106^2)*dt</f>
        <v>-5.6055020301369849</v>
      </c>
      <c r="DF106" s="24">
        <f t="shared" ref="DF106:DF137" si="27">1+(sigma^2)*(DD106^2)*dt+rf*dt</f>
        <v>12.234172279452052</v>
      </c>
      <c r="DG106" s="11">
        <f t="shared" ref="DG106:DG137" si="28">-0.5*dt*((rf-q)*DD106+sigma^2*DD106^2)</f>
        <v>-5.6284039479452046</v>
      </c>
      <c r="DH106" s="3"/>
      <c r="DI106" s="11"/>
    </row>
    <row r="107" spans="1:113" x14ac:dyDescent="0.25">
      <c r="AY107" s="15">
        <f>AX108/$C$14</f>
        <v>211722.63483593808</v>
      </c>
      <c r="AZ107" s="16">
        <f>(BA106*$C$15+BA108*(1-$C$15))*EXP(-$C$9*$C$13)</f>
        <v>0</v>
      </c>
      <c r="BA107" s="15">
        <f>AZ108/$C$14</f>
        <v>211722.63483593808</v>
      </c>
      <c r="BB107" s="16">
        <f>MAX(0,$C$8-BB106)</f>
        <v>0</v>
      </c>
      <c r="BD107" s="23">
        <f t="shared" ref="BD107:BD170" si="29">BD5</f>
        <v>96061.333333333343</v>
      </c>
      <c r="BE107" s="25">
        <v>0.49245043045293285</v>
      </c>
      <c r="BF107" s="25">
        <v>0.4411076519849923</v>
      </c>
      <c r="BG107" s="25">
        <v>0.39360351011525407</v>
      </c>
      <c r="BH107" s="25">
        <v>0.34979978842710363</v>
      </c>
      <c r="BI107" s="25">
        <v>0.30955256479296173</v>
      </c>
      <c r="BJ107" s="25">
        <v>0.27271266779672704</v>
      </c>
      <c r="BK107" s="25">
        <v>0.23912619747617209</v>
      </c>
      <c r="BL107" s="25">
        <v>0.20863511078072378</v>
      </c>
      <c r="BM107" s="25">
        <v>0.18107787114421678</v>
      </c>
      <c r="BN107" s="25">
        <v>0.15629016041501984</v>
      </c>
      <c r="BO107" s="25">
        <v>0.13410565006691094</v>
      </c>
      <c r="BP107" s="25">
        <v>0.11435682713883434</v>
      </c>
      <c r="BQ107" s="25">
        <v>9.6875868733495726E-2</v>
      </c>
      <c r="BR107" s="25">
        <v>8.1495557166424967E-2</v>
      </c>
      <c r="BS107" s="25">
        <v>6.8050226032508293E-2</v>
      </c>
      <c r="BT107" s="25">
        <v>5.637672559269926E-2</v>
      </c>
      <c r="BU107" s="25">
        <v>4.6315394040379869E-2</v>
      </c>
      <c r="BV107" s="25">
        <v>3.7711019460844465E-2</v>
      </c>
      <c r="BW107" s="25">
        <v>3.0413775727090579E-2</v>
      </c>
      <c r="BX107" s="25">
        <v>2.4280114349963567E-2</v>
      </c>
      <c r="BY107" s="25">
        <v>1.9173593343833541E-2</v>
      </c>
      <c r="BZ107" s="25">
        <v>1.4965623960647234E-2</v>
      </c>
      <c r="CA107" s="25">
        <v>1.1536116361271213E-2</v>
      </c>
      <c r="CB107" s="25">
        <v>8.774006429201656E-3</v>
      </c>
      <c r="CC107" s="25">
        <v>6.577647860447941E-3</v>
      </c>
      <c r="CD107" s="25">
        <v>4.8550565297842277E-3</v>
      </c>
      <c r="CE107" s="25">
        <v>3.5239979304179324E-3</v>
      </c>
      <c r="CF107" s="25">
        <v>2.5119131630740319E-3</v>
      </c>
      <c r="CG107" s="25">
        <v>1.7556843833211333E-3</v>
      </c>
      <c r="CH107" s="25">
        <v>1.2012465882083386E-3</v>
      </c>
      <c r="CI107" s="25">
        <v>8.0305883087006887E-4</v>
      </c>
      <c r="CJ107" s="25">
        <v>5.2345400812686877E-4</v>
      </c>
      <c r="CK107" s="25">
        <v>3.3189182173776102E-4</v>
      </c>
      <c r="CL107" s="25">
        <v>2.0414389027965577E-4</v>
      </c>
      <c r="CM107" s="25">
        <v>1.2144282618546892E-4</v>
      </c>
      <c r="CN107" s="25">
        <v>6.9628010418933204E-5</v>
      </c>
      <c r="CO107" s="25">
        <v>3.8319557888980208E-5</v>
      </c>
      <c r="CP107" s="25">
        <v>2.0148535042108814E-5</v>
      </c>
      <c r="CQ107" s="25">
        <v>1.0066076818344888E-5</v>
      </c>
      <c r="CR107" s="25">
        <v>4.7471182986914185E-6</v>
      </c>
      <c r="CS107" s="25">
        <v>2.0966952495252712E-6</v>
      </c>
      <c r="CT107" s="25">
        <v>8.5900990229379494E-7</v>
      </c>
      <c r="CU107" s="25">
        <v>3.2255975466806648E-7</v>
      </c>
      <c r="CV107" s="25">
        <v>1.0932399500432504E-7</v>
      </c>
      <c r="CW107" s="25">
        <v>3.2774035778292168E-8</v>
      </c>
      <c r="CX107" s="25">
        <v>8.4514796703905006E-9</v>
      </c>
      <c r="CY107" s="25">
        <v>1.7989511281362334E-9</v>
      </c>
      <c r="CZ107" s="25">
        <v>2.9495188587166646E-10</v>
      </c>
      <c r="DA107" s="25">
        <v>3.1742740688118856E-11</v>
      </c>
      <c r="DB107" s="25">
        <v>6.1663901210871522E-13</v>
      </c>
      <c r="DC107" s="44">
        <f t="shared" si="26"/>
        <v>0</v>
      </c>
      <c r="DD107" s="5">
        <f>DD106-1</f>
        <v>85</v>
      </c>
      <c r="DE107" s="30" cm="1">
        <f t="array" ref="DE107">1/2*(rf-q)*DD107*dt-1/2*(sigma^2)*(DD107^2)*dt</f>
        <v>-5.4757678253424649</v>
      </c>
      <c r="DF107" s="25">
        <f t="shared" si="27"/>
        <v>11.974437568493148</v>
      </c>
      <c r="DG107" s="6">
        <f t="shared" si="28"/>
        <v>-5.4984034417808205</v>
      </c>
      <c r="DH107" s="5">
        <f t="shared" ref="DH107:DH138" si="30">DE107*DI108+DF107*DI107+DG107*DI106-DC107</f>
        <v>0.49245043042754766</v>
      </c>
      <c r="DI107" s="6">
        <v>0.54776396288705942</v>
      </c>
    </row>
    <row r="108" spans="1:113" x14ac:dyDescent="0.25">
      <c r="AX108" s="15">
        <f>AW109/$C$14</f>
        <v>203629.83541430655</v>
      </c>
      <c r="AY108" s="16">
        <f>(AZ107*$C$15+AZ109*(1-$C$15))*EXP(-$C$9*$C$13)</f>
        <v>0</v>
      </c>
      <c r="AZ108" s="15">
        <f>AY109/$C$14</f>
        <v>203629.83541430655</v>
      </c>
      <c r="BA108" s="16">
        <f>(BB107*$C$15+BB109*(1-$C$15))*EXP(-$C$9*$C$13)</f>
        <v>0</v>
      </c>
      <c r="BB108" s="15">
        <f>BA109/$C$14</f>
        <v>203629.83541430655</v>
      </c>
      <c r="BD108" s="23">
        <f t="shared" si="29"/>
        <v>94931.200000000012</v>
      </c>
      <c r="BE108" s="25">
        <v>0.99633685303945629</v>
      </c>
      <c r="BF108" s="25">
        <v>0.89273553691676033</v>
      </c>
      <c r="BG108" s="25">
        <v>0.79685279021844913</v>
      </c>
      <c r="BH108" s="25">
        <v>0.70841264402613358</v>
      </c>
      <c r="BI108" s="25">
        <v>0.62712761078271784</v>
      </c>
      <c r="BJ108" s="25">
        <v>0.55269958729994795</v>
      </c>
      <c r="BK108" s="25">
        <v>0.48482088660265338</v>
      </c>
      <c r="BL108" s="25">
        <v>0.42317539958408074</v>
      </c>
      <c r="BM108" s="25">
        <v>0.36743988548030504</v>
      </c>
      <c r="BN108" s="25">
        <v>0.31728538788204841</v>
      </c>
      <c r="BO108" s="25">
        <v>0.27237877038721531</v>
      </c>
      <c r="BP108" s="25">
        <v>0.2323843630668736</v>
      </c>
      <c r="BQ108" s="25">
        <v>0.19696570769625754</v>
      </c>
      <c r="BR108" s="25">
        <v>0.16578738623418887</v>
      </c>
      <c r="BS108" s="25">
        <v>0.13851691338467714</v>
      </c>
      <c r="BT108" s="25">
        <v>0.11482667033422782</v>
      </c>
      <c r="BU108" s="25">
        <v>9.4395853046449096E-2</v>
      </c>
      <c r="BV108" s="25">
        <v>7.6912404960245373E-2</v>
      </c>
      <c r="BW108" s="25">
        <v>6.2074900760537496E-2</v>
      </c>
      <c r="BX108" s="25">
        <v>4.9594345264189155E-2</v>
      </c>
      <c r="BY108" s="25">
        <v>3.9195849671725021E-2</v>
      </c>
      <c r="BZ108" s="25">
        <v>3.0620146579884877E-2</v>
      </c>
      <c r="CA108" s="25">
        <v>2.3624905742548913E-2</v>
      </c>
      <c r="CB108" s="25">
        <v>1.798581450359981E-2</v>
      </c>
      <c r="CC108" s="25">
        <v>1.3497390594273158E-2</v>
      </c>
      <c r="CD108" s="25">
        <v>9.9735005460716841E-3</v>
      </c>
      <c r="CE108" s="25">
        <v>7.2475644203669675E-3</v>
      </c>
      <c r="CF108" s="25">
        <v>5.1724367956078278E-3</v>
      </c>
      <c r="CG108" s="25">
        <v>3.6199647429203613E-3</v>
      </c>
      <c r="CH108" s="25">
        <v>2.480235447370127E-3</v>
      </c>
      <c r="CI108" s="25">
        <v>1.6605386009116345E-3</v>
      </c>
      <c r="CJ108" s="25">
        <v>1.0840809408316876E-3</v>
      </c>
      <c r="CK108" s="25">
        <v>6.8850143867195325E-4</v>
      </c>
      <c r="CL108" s="25">
        <v>4.2424469657310556E-4</v>
      </c>
      <c r="CM108" s="25">
        <v>2.5285614552732639E-4</v>
      </c>
      <c r="CN108" s="25">
        <v>1.452648737340317E-4</v>
      </c>
      <c r="CO108" s="25">
        <v>8.0117829681845869E-5</v>
      </c>
      <c r="CP108" s="25">
        <v>4.222262896410312E-5</v>
      </c>
      <c r="CQ108" s="25">
        <v>2.1145619834154562E-5</v>
      </c>
      <c r="CR108" s="25">
        <v>9.9981212420900674E-6</v>
      </c>
      <c r="CS108" s="25">
        <v>4.4281917948908871E-6</v>
      </c>
      <c r="CT108" s="25">
        <v>1.8195829707384401E-6</v>
      </c>
      <c r="CU108" s="25">
        <v>6.854126106864654E-7</v>
      </c>
      <c r="CV108" s="25">
        <v>2.330872074631365E-7</v>
      </c>
      <c r="CW108" s="25">
        <v>7.0129102599785676E-8</v>
      </c>
      <c r="CX108" s="25">
        <v>1.8155196544257208E-8</v>
      </c>
      <c r="CY108" s="25">
        <v>3.8819502413370114E-9</v>
      </c>
      <c r="CZ108" s="25">
        <v>6.4092735343654229E-10</v>
      </c>
      <c r="DA108" s="25">
        <v>7.0877291443572642E-11</v>
      </c>
      <c r="DB108" s="25">
        <v>2.7742191920400751E-12</v>
      </c>
      <c r="DC108" s="44">
        <f t="shared" si="26"/>
        <v>0</v>
      </c>
      <c r="DD108" s="5">
        <f t="shared" ref="DD108:DD171" si="31">DD107-1</f>
        <v>84</v>
      </c>
      <c r="DE108" s="30" cm="1">
        <f t="array" ref="DE108">1/2*(rf-q)*DD108*dt-1/2*(sigma^2)*(DD108^2)*dt</f>
        <v>-5.3475525369863002</v>
      </c>
      <c r="DF108" s="25">
        <f t="shared" si="27"/>
        <v>11.717740690410956</v>
      </c>
      <c r="DG108" s="6">
        <f t="shared" si="28"/>
        <v>-5.3699218520547927</v>
      </c>
      <c r="DH108" s="5">
        <f t="shared" si="30"/>
        <v>0.99633685305083297</v>
      </c>
      <c r="DI108" s="6">
        <v>1.1079204120665067</v>
      </c>
    </row>
    <row r="109" spans="1:113" x14ac:dyDescent="0.25">
      <c r="AW109" s="15">
        <f>AV110/$C$14</f>
        <v>195846.37184866183</v>
      </c>
      <c r="AX109" s="16">
        <f>(AY108*$C$15+AY110*(1-$C$15))*EXP(-$C$9*$C$13)</f>
        <v>0</v>
      </c>
      <c r="AY109" s="15">
        <f>AX110/$C$14</f>
        <v>195846.37184866183</v>
      </c>
      <c r="AZ109" s="16">
        <f>(BA108*$C$15+BA110*(1-$C$15))*EXP(-$C$9*$C$13)</f>
        <v>0</v>
      </c>
      <c r="BA109" s="15">
        <f>AZ110/$C$14</f>
        <v>195846.37184866183</v>
      </c>
      <c r="BB109" s="16">
        <f>MAX(0,$C$8-BB108)</f>
        <v>0</v>
      </c>
      <c r="BD109" s="23">
        <f t="shared" si="29"/>
        <v>93801.06666666668</v>
      </c>
      <c r="BE109" s="25">
        <v>1.5217542910446098</v>
      </c>
      <c r="BF109" s="25">
        <v>1.3642272921145198</v>
      </c>
      <c r="BG109" s="25">
        <v>1.2183670165176907</v>
      </c>
      <c r="BH109" s="25">
        <v>1.0837613068613592</v>
      </c>
      <c r="BI109" s="25">
        <v>0.95998048043296735</v>
      </c>
      <c r="BJ109" s="25">
        <v>0.84657865661325238</v>
      </c>
      <c r="BK109" s="25">
        <v>0.7430952777368327</v>
      </c>
      <c r="BL109" s="25">
        <v>0.64905682532389453</v>
      </c>
      <c r="BM109" s="25">
        <v>0.56397873072579219</v>
      </c>
      <c r="BN109" s="25">
        <v>0.48736747586133133</v>
      </c>
      <c r="BO109" s="25">
        <v>0.41872287586289714</v>
      </c>
      <c r="BP109" s="25">
        <v>0.35754053111378609</v>
      </c>
      <c r="BQ109" s="25">
        <v>0.30331443137331066</v>
      </c>
      <c r="BR109" s="25">
        <v>0.25553968951472344</v>
      </c>
      <c r="BS109" s="25">
        <v>0.21371537693549095</v>
      </c>
      <c r="BT109" s="25">
        <v>0.17734742706996462</v>
      </c>
      <c r="BU109" s="25">
        <v>0.14595156781280758</v>
      </c>
      <c r="BV109" s="25">
        <v>0.11905623826413914</v>
      </c>
      <c r="BW109" s="25">
        <v>9.620544029793239E-2</v>
      </c>
      <c r="BX109" s="25">
        <v>7.6961471321806793E-2</v>
      </c>
      <c r="BY109" s="25">
        <v>6.0907481669840773E-2</v>
      </c>
      <c r="BZ109" s="25">
        <v>4.7649798459291737E-2</v>
      </c>
      <c r="CA109" s="25">
        <v>3.6819958311005069E-2</v>
      </c>
      <c r="CB109" s="25">
        <v>2.8076393820010009E-2</v>
      </c>
      <c r="CC109" s="25">
        <v>2.110572391098477E-2</v>
      </c>
      <c r="CD109" s="25">
        <v>1.5623606129241746E-2</v>
      </c>
      <c r="CE109" s="25">
        <v>1.1375119701385269E-2</v>
      </c>
      <c r="CF109" s="25">
        <v>8.1346617301045754E-3</v>
      </c>
      <c r="CG109" s="25">
        <v>5.705354844868369E-3</v>
      </c>
      <c r="CH109" s="25">
        <v>3.9179824351107742E-3</v>
      </c>
      <c r="CI109" s="25">
        <v>2.6294863905535391E-3</v>
      </c>
      <c r="CJ109" s="25">
        <v>1.7210809478170846E-3</v>
      </c>
      <c r="CK109" s="25">
        <v>1.0960534623162725E-3</v>
      </c>
      <c r="CL109" s="25">
        <v>6.7733723573942448E-4</v>
      </c>
      <c r="CM109" s="25">
        <v>4.049514919514381E-4</v>
      </c>
      <c r="CN109" s="25">
        <v>2.3340795658431622E-4</v>
      </c>
      <c r="CO109" s="25">
        <v>1.2918139297329561E-4</v>
      </c>
      <c r="CP109" s="25">
        <v>6.8332593228721472E-5</v>
      </c>
      <c r="CQ109" s="25">
        <v>3.4357159657156524E-5</v>
      </c>
      <c r="CR109" s="25">
        <v>1.6313171132041668E-5</v>
      </c>
      <c r="CS109" s="25">
        <v>7.2574741740753352E-6</v>
      </c>
      <c r="CT109" s="25">
        <v>2.9963551982445669E-6</v>
      </c>
      <c r="CU109" s="25">
        <v>1.1344018840254272E-6</v>
      </c>
      <c r="CV109" s="25">
        <v>3.8785212415026957E-7</v>
      </c>
      <c r="CW109" s="25">
        <v>1.1736215064486973E-7</v>
      </c>
      <c r="CX109" s="25">
        <v>3.056861451585453E-8</v>
      </c>
      <c r="CY109" s="25">
        <v>6.5790781035606277E-9</v>
      </c>
      <c r="CZ109" s="25">
        <v>1.0941914299129947E-9</v>
      </c>
      <c r="DA109" s="25">
        <v>1.2219133767455013E-10</v>
      </c>
      <c r="DB109" s="25">
        <v>4.8050401531178396E-12</v>
      </c>
      <c r="DC109" s="44">
        <f t="shared" si="26"/>
        <v>0</v>
      </c>
      <c r="DD109" s="5">
        <f t="shared" si="31"/>
        <v>83</v>
      </c>
      <c r="DE109" s="30" cm="1">
        <f t="array" ref="DE109">1/2*(rf-q)*DD109*dt-1/2*(sigma^2)*(DD109^2)*dt</f>
        <v>-5.2208561650684926</v>
      </c>
      <c r="DF109" s="25">
        <f t="shared" si="27"/>
        <v>11.464081645205477</v>
      </c>
      <c r="DG109" s="6">
        <f t="shared" si="28"/>
        <v>-5.2429591787671219</v>
      </c>
      <c r="DH109" s="5">
        <f t="shared" si="30"/>
        <v>1.5217542910182802</v>
      </c>
      <c r="DI109" s="6">
        <v>1.6913415070774771</v>
      </c>
    </row>
    <row r="110" spans="1:113" x14ac:dyDescent="0.25">
      <c r="AV110" s="15">
        <f>AU111/$C$14</f>
        <v>188360.42021173058</v>
      </c>
      <c r="AW110" s="16">
        <f>(AX109*$C$15+AX111*(1-$C$15))*EXP(-$C$9*$C$13)</f>
        <v>0</v>
      </c>
      <c r="AX110" s="15">
        <f>AW111/$C$14</f>
        <v>188360.42021173058</v>
      </c>
      <c r="AY110" s="16">
        <f>(AZ109*$C$15+AZ111*(1-$C$15))*EXP(-$C$9*$C$13)</f>
        <v>0</v>
      </c>
      <c r="AZ110" s="15">
        <f>AY111/$C$14</f>
        <v>188360.42021173058</v>
      </c>
      <c r="BA110" s="16">
        <f>(BB109*$C$15+BB111*(1-$C$15))*EXP(-$C$9*$C$13)</f>
        <v>0</v>
      </c>
      <c r="BB110" s="15">
        <f>BA111/$C$14</f>
        <v>188360.42021173058</v>
      </c>
      <c r="BD110" s="23">
        <f t="shared" si="29"/>
        <v>92670.933333333349</v>
      </c>
      <c r="BE110" s="25">
        <v>2.0796463936790364</v>
      </c>
      <c r="BF110" s="25">
        <v>1.8657227392338278</v>
      </c>
      <c r="BG110" s="25">
        <v>1.6675102164268192</v>
      </c>
      <c r="BH110" s="25">
        <v>1.4844632385908092</v>
      </c>
      <c r="BI110" s="25">
        <v>1.316012406481925</v>
      </c>
      <c r="BJ110" s="25">
        <v>1.1615662249098773</v>
      </c>
      <c r="BK110" s="25">
        <v>1.020513077341519</v>
      </c>
      <c r="BL110" s="25">
        <v>0.89222346190630897</v>
      </c>
      <c r="BM110" s="25">
        <v>0.7760524885262674</v>
      </c>
      <c r="BN110" s="25">
        <v>0.67134263253980686</v>
      </c>
      <c r="BO110" s="25">
        <v>0.57742673517524967</v>
      </c>
      <c r="BP110" s="25">
        <v>0.49363123556424576</v>
      </c>
      <c r="BQ110" s="25">
        <v>0.41927961270404729</v>
      </c>
      <c r="BR110" s="25">
        <v>0.35369600895160908</v>
      </c>
      <c r="BS110" s="25">
        <v>0.29620899937451373</v>
      </c>
      <c r="BT110" s="25">
        <v>0.24615546375519268</v>
      </c>
      <c r="BU110" s="25">
        <v>0.20288451046216432</v>
      </c>
      <c r="BV110" s="25">
        <v>0.16576139404088491</v>
      </c>
      <c r="BW110" s="25">
        <v>0.13417136157473963</v>
      </c>
      <c r="BX110" s="25">
        <v>0.10752335702479979</v>
      </c>
      <c r="BY110" s="25">
        <v>8.5253508304234463E-2</v>
      </c>
      <c r="BZ110" s="25">
        <v>6.6828319346181358E-2</v>
      </c>
      <c r="CA110" s="25">
        <v>5.1747489204810704E-2</v>
      </c>
      <c r="CB110" s="25">
        <v>3.9546283099736554E-2</v>
      </c>
      <c r="CC110" s="25">
        <v>2.979738632217625E-2</v>
      </c>
      <c r="CD110" s="25">
        <v>2.2112181737112355E-2</v>
      </c>
      <c r="CE110" s="25">
        <v>1.6141405203554598E-2</v>
      </c>
      <c r="CF110" s="25">
        <v>1.1575150611481282E-2</v>
      </c>
      <c r="CG110" s="25">
        <v>8.1422170275959414E-3</v>
      </c>
      <c r="CH110" s="25">
        <v>5.6088139607495995E-3</v>
      </c>
      <c r="CI110" s="25">
        <v>3.7766659366527755E-3</v>
      </c>
      <c r="CJ110" s="25">
        <v>2.480582979521907E-3</v>
      </c>
      <c r="CK110" s="25">
        <v>1.5855874905680227E-3</v>
      </c>
      <c r="CL110" s="25">
        <v>9.8370843983927397E-4</v>
      </c>
      <c r="CM110" s="25">
        <v>5.9056876523798146E-4</v>
      </c>
      <c r="CN110" s="25">
        <v>3.4189961121224206E-4</v>
      </c>
      <c r="CO110" s="25">
        <v>1.9011421092931215E-4</v>
      </c>
      <c r="CP110" s="25">
        <v>1.0106422182492528E-4</v>
      </c>
      <c r="CQ110" s="25">
        <v>5.1082523519423819E-5</v>
      </c>
      <c r="CR110" s="25">
        <v>2.4390315079212851E-5</v>
      </c>
      <c r="CS110" s="25">
        <v>1.0915280385419372E-5</v>
      </c>
      <c r="CT110" s="25">
        <v>4.5349028615613318E-6</v>
      </c>
      <c r="CU110" s="25">
        <v>1.7283466014927186E-6</v>
      </c>
      <c r="CV110" s="25">
        <v>5.9510446130605557E-7</v>
      </c>
      <c r="CW110" s="25">
        <v>1.8142837623474932E-7</v>
      </c>
      <c r="CX110" s="25">
        <v>4.763384222244423E-8</v>
      </c>
      <c r="CY110" s="25">
        <v>1.0341201693217079E-8</v>
      </c>
      <c r="CZ110" s="25">
        <v>1.7381927601728339E-9</v>
      </c>
      <c r="DA110" s="25">
        <v>1.9872250580318491E-10</v>
      </c>
      <c r="DB110" s="25">
        <v>1.0213832135829572E-11</v>
      </c>
      <c r="DC110" s="44">
        <f t="shared" si="26"/>
        <v>0</v>
      </c>
      <c r="DD110" s="5">
        <f t="shared" si="31"/>
        <v>82</v>
      </c>
      <c r="DE110" s="30" cm="1">
        <f t="array" ref="DE110">1/2*(rf-q)*DD110*dt-1/2*(sigma^2)*(DD110^2)*dt</f>
        <v>-5.0956787095890395</v>
      </c>
      <c r="DF110" s="25">
        <f t="shared" si="27"/>
        <v>11.213460432876708</v>
      </c>
      <c r="DG110" s="6">
        <f t="shared" si="28"/>
        <v>-5.1175154219178074</v>
      </c>
      <c r="DH110" s="5">
        <f t="shared" si="30"/>
        <v>2.0796463936950023</v>
      </c>
      <c r="DI110" s="6">
        <v>2.3098014886792129</v>
      </c>
    </row>
    <row r="111" spans="1:113" x14ac:dyDescent="0.25">
      <c r="AU111" s="15">
        <f>AT112/$C$14</f>
        <v>181160.60852920084</v>
      </c>
      <c r="AV111" s="16">
        <f>(AW110*$C$15+AW112*(1-$C$15))*EXP(-$C$9*$C$13)</f>
        <v>0</v>
      </c>
      <c r="AW111" s="15">
        <f>AV112/$C$14</f>
        <v>181160.60852920084</v>
      </c>
      <c r="AX111" s="16">
        <f>(AY110*$C$15+AY112*(1-$C$15))*EXP(-$C$9*$C$13)</f>
        <v>0</v>
      </c>
      <c r="AY111" s="15">
        <f>AX112/$C$14</f>
        <v>181160.60852920084</v>
      </c>
      <c r="AZ111" s="16">
        <f>(BA110*$C$15+BA112*(1-$C$15))*EXP(-$C$9*$C$13)</f>
        <v>0</v>
      </c>
      <c r="BA111" s="15">
        <f>AZ112/$C$14</f>
        <v>181160.60852920084</v>
      </c>
      <c r="BB111" s="16">
        <f>MAX(0,$C$8-BB110)</f>
        <v>0</v>
      </c>
      <c r="BD111" s="23">
        <f t="shared" si="29"/>
        <v>91540.800000000017</v>
      </c>
      <c r="BE111" s="25">
        <v>2.6820193220064183</v>
      </c>
      <c r="BF111" s="25">
        <v>2.4083629270391769</v>
      </c>
      <c r="BG111" s="25">
        <v>2.1545872932427357</v>
      </c>
      <c r="BH111" s="25">
        <v>1.920017477465497</v>
      </c>
      <c r="BI111" s="25">
        <v>1.7039480716552249</v>
      </c>
      <c r="BJ111" s="25">
        <v>1.5056452598382155</v>
      </c>
      <c r="BK111" s="25">
        <v>1.3243491972147035</v>
      </c>
      <c r="BL111" s="25">
        <v>1.1592767170380878</v>
      </c>
      <c r="BM111" s="25">
        <v>1.0096243665374371</v>
      </c>
      <c r="BN111" s="25">
        <v>0.8745717679276892</v>
      </c>
      <c r="BO111" s="25">
        <v>0.75328529450501047</v>
      </c>
      <c r="BP111" s="25">
        <v>0.64492204494631178</v>
      </c>
      <c r="BQ111" s="25">
        <v>0.5486340912543326</v>
      </c>
      <c r="BR111" s="25">
        <v>0.46357296738655579</v>
      </c>
      <c r="BS111" s="25">
        <v>0.38889435660085508</v>
      </c>
      <c r="BT111" s="25">
        <v>0.32376292612530766</v>
      </c>
      <c r="BU111" s="25">
        <v>0.26735724816349227</v>
      </c>
      <c r="BV111" s="25">
        <v>0.21887473680322111</v>
      </c>
      <c r="BW111" s="25">
        <v>0.17753652150777691</v>
      </c>
      <c r="BX111" s="25">
        <v>0.14259217001542973</v>
      </c>
      <c r="BY111" s="25">
        <v>0.11332416718729747</v>
      </c>
      <c r="BZ111" s="25">
        <v>8.9052052329219242E-2</v>
      </c>
      <c r="CA111" s="25">
        <v>6.9136116143281717E-2</v>
      </c>
      <c r="CB111" s="25">
        <v>5.2980560881369237E-2</v>
      </c>
      <c r="CC111" s="25">
        <v>4.003603343117914E-2</v>
      </c>
      <c r="CD111" s="25">
        <v>2.9801451998780717E-2</v>
      </c>
      <c r="CE111" s="25">
        <v>2.1825062724174168E-2</v>
      </c>
      <c r="CF111" s="25">
        <v>1.5704683134735227E-2</v>
      </c>
      <c r="CG111" s="25">
        <v>1.108711445825274E-2</v>
      </c>
      <c r="CH111" s="25">
        <v>7.6667337498094526E-3</v>
      </c>
      <c r="CI111" s="25">
        <v>5.1833083299202207E-3</v>
      </c>
      <c r="CJ111" s="25">
        <v>3.4191075005171895E-3</v>
      </c>
      <c r="CK111" s="25">
        <v>2.1954177800144457E-3</v>
      </c>
      <c r="CL111" s="25">
        <v>1.3685955372583463E-3</v>
      </c>
      <c r="CM111" s="25">
        <v>8.2581233906086282E-4</v>
      </c>
      <c r="CN111" s="25">
        <v>4.8066113712414598E-4</v>
      </c>
      <c r="CO111" s="25">
        <v>2.6879366942562396E-4</v>
      </c>
      <c r="CP111" s="25">
        <v>1.4375004009247946E-4</v>
      </c>
      <c r="CQ111" s="25">
        <v>7.3120433535877246E-5</v>
      </c>
      <c r="CR111" s="25">
        <v>3.5147749272119109E-5</v>
      </c>
      <c r="CS111" s="25">
        <v>1.5841445364524275E-5</v>
      </c>
      <c r="CT111" s="25">
        <v>6.6310506323267239E-6</v>
      </c>
      <c r="CU111" s="25">
        <v>2.5473178111451472E-6</v>
      </c>
      <c r="CV111" s="25">
        <v>8.8445597508600829E-7</v>
      </c>
      <c r="CW111" s="25">
        <v>2.7203333498225663E-7</v>
      </c>
      <c r="CX111" s="25">
        <v>7.2091461528450156E-8</v>
      </c>
      <c r="CY111" s="25">
        <v>1.5806623837147437E-8</v>
      </c>
      <c r="CZ111" s="25">
        <v>2.6855504300240149E-9</v>
      </c>
      <c r="DA111" s="25">
        <v>3.1102628802233107E-10</v>
      </c>
      <c r="DB111" s="25">
        <v>1.6128945463926633E-11</v>
      </c>
      <c r="DC111" s="44">
        <f t="shared" si="26"/>
        <v>0</v>
      </c>
      <c r="DD111" s="5">
        <f t="shared" si="31"/>
        <v>81</v>
      </c>
      <c r="DE111" s="30" cm="1">
        <f t="array" ref="DE111">1/2*(rf-q)*DD111*dt-1/2*(sigma^2)*(DD111^2)*dt</f>
        <v>-4.9720201705479434</v>
      </c>
      <c r="DF111" s="25">
        <f t="shared" si="27"/>
        <v>10.965877053424654</v>
      </c>
      <c r="DG111" s="6">
        <f t="shared" si="28"/>
        <v>-4.9935905815068482</v>
      </c>
      <c r="DH111" s="5">
        <f t="shared" si="30"/>
        <v>2.6820193219831001</v>
      </c>
      <c r="DI111" s="6">
        <v>2.9761992122210299</v>
      </c>
    </row>
    <row r="112" spans="1:113" x14ac:dyDescent="0.25">
      <c r="AT112" s="15">
        <f>AS113/$C$14</f>
        <v>174235.99950445673</v>
      </c>
      <c r="AU112" s="16">
        <f>(AV111*$C$15+AV113*(1-$C$15))*EXP(-$C$9*$C$13)</f>
        <v>0</v>
      </c>
      <c r="AV112" s="15">
        <f>AU113/$C$14</f>
        <v>174235.99950445673</v>
      </c>
      <c r="AW112" s="16">
        <f>(AX111*$C$15+AX113*(1-$C$15))*EXP(-$C$9*$C$13)</f>
        <v>0</v>
      </c>
      <c r="AX112" s="15">
        <f>AW113/$C$14</f>
        <v>174235.99950445673</v>
      </c>
      <c r="AY112" s="16">
        <f>(AZ111*$C$15+AZ113*(1-$C$15))*EXP(-$C$9*$C$13)</f>
        <v>0</v>
      </c>
      <c r="AZ112" s="15">
        <f>AY113/$C$14</f>
        <v>174235.99950445673</v>
      </c>
      <c r="BA112" s="16">
        <f>(BB111*$C$15+BB113*(1-$C$15))*EXP(-$C$9*$C$13)</f>
        <v>0</v>
      </c>
      <c r="BB112" s="15">
        <f>BA113/$C$14</f>
        <v>174235.99950445673</v>
      </c>
      <c r="BD112" s="23">
        <f t="shared" si="29"/>
        <v>90410.666666666686</v>
      </c>
      <c r="BE112" s="25">
        <v>3.3421884865048908</v>
      </c>
      <c r="BF112" s="25">
        <v>3.0045270240185631</v>
      </c>
      <c r="BG112" s="25">
        <v>2.6910708546740123</v>
      </c>
      <c r="BH112" s="25">
        <v>2.4010212087584737</v>
      </c>
      <c r="BI112" s="25">
        <v>2.1335417551317617</v>
      </c>
      <c r="BJ112" s="25">
        <v>1.8877609353552796</v>
      </c>
      <c r="BK112" s="25">
        <v>1.6627746832358747</v>
      </c>
      <c r="BL112" s="25">
        <v>1.4576495385876087</v>
      </c>
      <c r="BM112" s="25">
        <v>1.2714261590634983</v>
      </c>
      <c r="BN112" s="25">
        <v>1.1031232279954781</v>
      </c>
      <c r="BO112" s="25">
        <v>0.95174174926313593</v>
      </c>
      <c r="BP112" s="25">
        <v>0.81626971227539769</v>
      </c>
      <c r="BQ112" s="25">
        <v>0.69568710121492183</v>
      </c>
      <c r="BR112" s="25">
        <v>0.5889712128285145</v>
      </c>
      <c r="BS112" s="25">
        <v>0.49510223637049278</v>
      </c>
      <c r="BT112" s="25">
        <v>0.41306903800916134</v>
      </c>
      <c r="BU112" s="25">
        <v>0.34187508035707143</v>
      </c>
      <c r="BV112" s="25">
        <v>0.28054439613910687</v>
      </c>
      <c r="BW112" s="25">
        <v>0.22812752381887857</v>
      </c>
      <c r="BX112" s="25">
        <v>0.18370730281072664</v>
      </c>
      <c r="BY112" s="25">
        <v>0.14640441735530391</v>
      </c>
      <c r="BZ112" s="25">
        <v>0.11538257193876188</v>
      </c>
      <c r="CA112" s="25">
        <v>8.9853178121388169E-2</v>
      </c>
      <c r="CB112" s="25">
        <v>6.9079433476419316E-2</v>
      </c>
      <c r="CC112" s="25">
        <v>5.2379679025587871E-2</v>
      </c>
      <c r="CD112" s="25">
        <v>3.9129932461039164E-2</v>
      </c>
      <c r="CE112" s="25">
        <v>2.8765511300938632E-2</v>
      </c>
      <c r="CF112" s="25">
        <v>2.0781682970318294E-2</v>
      </c>
      <c r="CG112" s="25">
        <v>1.4733307492981766E-2</v>
      </c>
      <c r="CH112" s="25">
        <v>1.0233472326632617E-2</v>
      </c>
      <c r="CI112" s="25">
        <v>6.9511566240017565E-3</v>
      </c>
      <c r="CJ112" s="25">
        <v>4.6080020057027203E-3</v>
      </c>
      <c r="CK112" s="25">
        <v>2.9743063525757159E-3</v>
      </c>
      <c r="CL112" s="25">
        <v>1.8643932563117481E-3</v>
      </c>
      <c r="CM112" s="25">
        <v>1.1315394232468427E-3</v>
      </c>
      <c r="CN112" s="25">
        <v>6.6266235670824688E-4</v>
      </c>
      <c r="CO112" s="25">
        <v>3.7297832916705943E-4</v>
      </c>
      <c r="CP112" s="25">
        <v>2.0083416180470133E-4</v>
      </c>
      <c r="CQ112" s="25">
        <v>1.0289514643865715E-4</v>
      </c>
      <c r="CR112" s="25">
        <v>4.9836728808165031E-5</v>
      </c>
      <c r="CS112" s="25">
        <v>2.264227875912581E-5</v>
      </c>
      <c r="CT112" s="25">
        <v>9.5579934353540401E-6</v>
      </c>
      <c r="CU112" s="25">
        <v>3.7044255641370809E-6</v>
      </c>
      <c r="CV112" s="25">
        <v>1.2982871427508012E-6</v>
      </c>
      <c r="CW112" s="25">
        <v>4.0326246971488086E-7</v>
      </c>
      <c r="CX112" s="25">
        <v>1.0798244122285015E-7</v>
      </c>
      <c r="CY112" s="25">
        <v>2.3938622870753796E-8</v>
      </c>
      <c r="CZ112" s="25">
        <v>4.1177410089754682E-9</v>
      </c>
      <c r="DA112" s="25">
        <v>4.8612004544537862E-10</v>
      </c>
      <c r="DB112" s="25">
        <v>2.8273583583560212E-11</v>
      </c>
      <c r="DC112" s="44">
        <f t="shared" si="26"/>
        <v>0</v>
      </c>
      <c r="DD112" s="5">
        <f t="shared" si="31"/>
        <v>80</v>
      </c>
      <c r="DE112" s="30" cm="1">
        <f t="array" ref="DE112">1/2*(rf-q)*DD112*dt-1/2*(sigma^2)*(DD112^2)*dt</f>
        <v>-4.8498805479452054</v>
      </c>
      <c r="DF112" s="25">
        <f t="shared" si="27"/>
        <v>10.721331506849314</v>
      </c>
      <c r="DG112" s="6">
        <f t="shared" si="28"/>
        <v>-4.8711846575342461</v>
      </c>
      <c r="DH112" s="5">
        <f t="shared" si="30"/>
        <v>3.3421884865194507</v>
      </c>
      <c r="DI112" s="6">
        <v>3.7048144888525232</v>
      </c>
    </row>
    <row r="113" spans="30:113" x14ac:dyDescent="0.25">
      <c r="AS113" s="15">
        <f>AR114/$C$14</f>
        <v>167576.0739036361</v>
      </c>
      <c r="AT113" s="16">
        <f>(AU112*$C$15+AU114*(1-$C$15))*EXP(-$C$9*$C$13)</f>
        <v>0</v>
      </c>
      <c r="AU113" s="15">
        <f>AT114/$C$14</f>
        <v>167576.0739036361</v>
      </c>
      <c r="AV113" s="16">
        <f>(AW112*$C$15+AW114*(1-$C$15))*EXP(-$C$9*$C$13)</f>
        <v>0</v>
      </c>
      <c r="AW113" s="15">
        <f>AV114/$C$14</f>
        <v>167576.0739036361</v>
      </c>
      <c r="AX113" s="16">
        <f>(AY112*$C$15+AY114*(1-$C$15))*EXP(-$C$9*$C$13)</f>
        <v>0</v>
      </c>
      <c r="AY113" s="15">
        <f>AX114/$C$14</f>
        <v>167576.0739036361</v>
      </c>
      <c r="AZ113" s="16">
        <f>(BA112*$C$15+BA114*(1-$C$15))*EXP(-$C$9*$C$13)</f>
        <v>0</v>
      </c>
      <c r="BA113" s="15">
        <f>AZ114/$C$14</f>
        <v>167576.0739036361</v>
      </c>
      <c r="BB113" s="16">
        <f>MAX(0,$C$8-BB112)</f>
        <v>0</v>
      </c>
      <c r="BD113" s="23">
        <f t="shared" si="29"/>
        <v>89280.533333333355</v>
      </c>
      <c r="BE113" s="25">
        <v>4.0750637320265986</v>
      </c>
      <c r="BF113" s="25">
        <v>3.668106600825809</v>
      </c>
      <c r="BG113" s="25">
        <v>3.2898643190718055</v>
      </c>
      <c r="BH113" s="25">
        <v>2.9394214475121525</v>
      </c>
      <c r="BI113" s="25">
        <v>2.6158173744292066</v>
      </c>
      <c r="BJ113" s="25">
        <v>2.3180488487956632</v>
      </c>
      <c r="BK113" s="25">
        <v>2.0450729606275986</v>
      </c>
      <c r="BL113" s="25">
        <v>1.7958105815087981</v>
      </c>
      <c r="BM113" s="25">
        <v>1.5691502729618738</v>
      </c>
      <c r="BN113" s="25">
        <v>1.3639526639329391</v>
      </c>
      <c r="BO113" s="25">
        <v>1.1790552910738055</v>
      </c>
      <c r="BP113" s="25">
        <v>1.0132778867121901</v>
      </c>
      <c r="BQ113" s="25">
        <v>0.8654280893953481</v>
      </c>
      <c r="BR113" s="25">
        <v>0.7343075407227454</v>
      </c>
      <c r="BS113" s="25">
        <v>0.61871831995608251</v>
      </c>
      <c r="BT113" s="25">
        <v>0.51746965479069462</v>
      </c>
      <c r="BU113" s="25">
        <v>0.42938483295932561</v>
      </c>
      <c r="BV113" s="25">
        <v>0.35330822538559836</v>
      </c>
      <c r="BW113" s="25">
        <v>0.28811231788926639</v>
      </c>
      <c r="BX113" s="25">
        <v>0.23270463556512375</v>
      </c>
      <c r="BY113" s="25">
        <v>0.18603443262717204</v>
      </c>
      <c r="BZ113" s="25">
        <v>0.14709901154340912</v>
      </c>
      <c r="CA113" s="25">
        <v>0.11494952965223332</v>
      </c>
      <c r="CB113" s="25">
        <v>8.8696149936607002E-2</v>
      </c>
      <c r="CC113" s="25">
        <v>6.7512396552243656E-2</v>
      </c>
      <c r="CD113" s="25">
        <v>5.063858547973326E-2</v>
      </c>
      <c r="CE113" s="25">
        <v>3.7384217436883062E-2</v>
      </c>
      <c r="CF113" s="25">
        <v>2.7129244123031589E-2</v>
      </c>
      <c r="CG113" s="25">
        <v>1.9324150092828285E-2</v>
      </c>
      <c r="CH113" s="25">
        <v>1.3488830535534299E-2</v>
      </c>
      <c r="CI113" s="25">
        <v>9.210288800125881E-3</v>
      </c>
      <c r="CJ113" s="25">
        <v>6.1392247561560809E-3</v>
      </c>
      <c r="CK113" s="25">
        <v>3.9856333662784092E-3</v>
      </c>
      <c r="CL113" s="25">
        <v>2.5135788441827058E-3</v>
      </c>
      <c r="CM113" s="25">
        <v>1.5353496714518777E-3</v>
      </c>
      <c r="CN113" s="25">
        <v>9.0522957487794084E-4</v>
      </c>
      <c r="CO113" s="25">
        <v>5.1313563624799023E-4</v>
      </c>
      <c r="CP113" s="25">
        <v>2.7837417155324206E-4</v>
      </c>
      <c r="CQ113" s="25">
        <v>1.4374644801576979E-4</v>
      </c>
      <c r="CR113" s="25">
        <v>7.0200208280925884E-5</v>
      </c>
      <c r="CS113" s="25">
        <v>3.2172084609822942E-5</v>
      </c>
      <c r="CT113" s="25">
        <v>1.3705267112722417E-5</v>
      </c>
      <c r="CU113" s="25">
        <v>5.3629407368590976E-6</v>
      </c>
      <c r="CV113" s="25">
        <v>1.8985511255611131E-6</v>
      </c>
      <c r="CW113" s="25">
        <v>5.9597218049813508E-7</v>
      </c>
      <c r="CX113" s="25">
        <v>1.6136408837643456E-7</v>
      </c>
      <c r="CY113" s="25">
        <v>3.6192594777181483E-8</v>
      </c>
      <c r="CZ113" s="25">
        <v>6.3033342065763771E-9</v>
      </c>
      <c r="DA113" s="25">
        <v>7.5450963795145905E-10</v>
      </c>
      <c r="DB113" s="25">
        <v>4.4409249568585973E-11</v>
      </c>
      <c r="DC113" s="44">
        <f t="shared" si="26"/>
        <v>0</v>
      </c>
      <c r="DD113" s="5">
        <f t="shared" si="31"/>
        <v>79</v>
      </c>
      <c r="DE113" s="30" cm="1">
        <f t="array" ref="DE113">1/2*(rf-q)*DD113*dt-1/2*(sigma^2)*(DD113^2)*dt</f>
        <v>-4.7292598417808209</v>
      </c>
      <c r="DF113" s="25">
        <f t="shared" si="27"/>
        <v>10.479823793150683</v>
      </c>
      <c r="DG113" s="6">
        <f t="shared" si="28"/>
        <v>-4.7502976499999994</v>
      </c>
      <c r="DH113" s="5">
        <f t="shared" si="30"/>
        <v>4.0750637320265959</v>
      </c>
      <c r="DI113" s="6">
        <v>4.5116038762605752</v>
      </c>
    </row>
    <row r="114" spans="30:113" x14ac:dyDescent="0.25">
      <c r="AR114" s="15">
        <f>AQ115/$C$14</f>
        <v>161170.71457577063</v>
      </c>
      <c r="AS114" s="16">
        <f>(AT113*$C$15+AT115*(1-$C$15))*EXP(-$C$9*$C$13)</f>
        <v>0</v>
      </c>
      <c r="AT114" s="15">
        <f>AS115/$C$14</f>
        <v>161170.71457577063</v>
      </c>
      <c r="AU114" s="16">
        <f>(AV113*$C$15+AV115*(1-$C$15))*EXP(-$C$9*$C$13)</f>
        <v>0</v>
      </c>
      <c r="AV114" s="15">
        <f>AU115/$C$14</f>
        <v>161170.71457577063</v>
      </c>
      <c r="AW114" s="16">
        <f>(AX113*$C$15+AX115*(1-$C$15))*EXP(-$C$9*$C$13)</f>
        <v>0</v>
      </c>
      <c r="AX114" s="15">
        <f>AW115/$C$14</f>
        <v>161170.71457577063</v>
      </c>
      <c r="AY114" s="16">
        <f>(AZ113*$C$15+AZ115*(1-$C$15))*EXP(-$C$9*$C$13)</f>
        <v>0</v>
      </c>
      <c r="AZ114" s="15">
        <f>AY115/$C$14</f>
        <v>161170.71457577063</v>
      </c>
      <c r="BA114" s="16">
        <f>(BB113*$C$15+BB115*(1-$C$15))*EXP(-$C$9*$C$13)</f>
        <v>0</v>
      </c>
      <c r="BB114" s="15">
        <f>BA115/$C$14</f>
        <v>161170.71457577063</v>
      </c>
      <c r="BD114" s="23">
        <f t="shared" si="29"/>
        <v>88150.400000000023</v>
      </c>
      <c r="BE114" s="25">
        <v>4.8974795038221446</v>
      </c>
      <c r="BF114" s="25">
        <v>4.4148237882942629</v>
      </c>
      <c r="BG114" s="25">
        <v>3.9656077251468034</v>
      </c>
      <c r="BH114" s="25">
        <v>3.5488081867416992</v>
      </c>
      <c r="BI114" s="25">
        <v>3.1633486899023611</v>
      </c>
      <c r="BJ114" s="25">
        <v>2.8081020345640435</v>
      </c>
      <c r="BK114" s="25">
        <v>2.4818934489610838</v>
      </c>
      <c r="BL114" s="25">
        <v>2.1835042596350682</v>
      </c>
      <c r="BM114" s="25">
        <v>1.9116760991355419</v>
      </c>
      <c r="BN114" s="25">
        <v>1.6651156576267263</v>
      </c>
      <c r="BO114" s="25">
        <v>1.4424999766185154</v>
      </c>
      <c r="BP114" s="25">
        <v>1.2424822736413397</v>
      </c>
      <c r="BQ114" s="25">
        <v>1.0636982758495992</v>
      </c>
      <c r="BR114" s="25">
        <v>0.90477302828256656</v>
      </c>
      <c r="BS114" s="25">
        <v>0.76432812891110868</v>
      </c>
      <c r="BT114" s="25">
        <v>0.64098932780684248</v>
      </c>
      <c r="BU114" s="25">
        <v>0.53339441203466154</v>
      </c>
      <c r="BV114" s="25">
        <v>0.44020128154734339</v>
      </c>
      <c r="BW114" s="25">
        <v>0.36009610493556593</v>
      </c>
      <c r="BX114" s="25">
        <v>0.29180142797892678</v>
      </c>
      <c r="BY114" s="25">
        <v>0.23408409331950256</v>
      </c>
      <c r="BZ114" s="25">
        <v>0.18576281712760859</v>
      </c>
      <c r="CA114" s="25">
        <v>0.14571525949180933</v>
      </c>
      <c r="CB114" s="25">
        <v>0.1128844202408803</v>
      </c>
      <c r="CC114" s="25">
        <v>8.6284192814500268E-2</v>
      </c>
      <c r="CD114" s="25">
        <v>6.5003915960563263E-2</v>
      </c>
      <c r="CE114" s="25">
        <v>4.8211778196687177E-2</v>
      </c>
      <c r="CF114" s="25">
        <v>3.5156953464911614E-2</v>
      </c>
      <c r="CG114" s="25">
        <v>2.5170378750904061E-2</v>
      </c>
      <c r="CH114" s="25">
        <v>1.7664125389216155E-2</v>
      </c>
      <c r="CI114" s="25">
        <v>1.2129364402996017E-2</v>
      </c>
      <c r="CJ114" s="25">
        <v>8.1329807396282768E-3</v>
      </c>
      <c r="CK114" s="25">
        <v>5.3129489396030139E-3</v>
      </c>
      <c r="CL114" s="25">
        <v>3.3726399764988629E-3</v>
      </c>
      <c r="CM114" s="25">
        <v>2.074281326860604E-3</v>
      </c>
      <c r="CN114" s="25">
        <v>1.2318349086129308E-3</v>
      </c>
      <c r="CO114" s="25">
        <v>7.0358553115909767E-4</v>
      </c>
      <c r="CP114" s="25">
        <v>3.8474176349776482E-4</v>
      </c>
      <c r="CQ114" s="25">
        <v>2.0033888963371291E-4</v>
      </c>
      <c r="CR114" s="25">
        <v>9.869925702789857E-5</v>
      </c>
      <c r="CS114" s="25">
        <v>4.5650895552218332E-5</v>
      </c>
      <c r="CT114" s="25">
        <v>1.9635742800059238E-5</v>
      </c>
      <c r="CU114" s="25">
        <v>7.7616794141066743E-6</v>
      </c>
      <c r="CV114" s="25">
        <v>2.7770220190503449E-6</v>
      </c>
      <c r="CW114" s="25">
        <v>8.8147040469535216E-7</v>
      </c>
      <c r="CX114" s="25">
        <v>2.4145974621222805E-7</v>
      </c>
      <c r="CY114" s="25">
        <v>5.4823187217893049E-8</v>
      </c>
      <c r="CZ114" s="25">
        <v>9.6723014273706709E-9</v>
      </c>
      <c r="DA114" s="25">
        <v>1.1742860580078324E-9</v>
      </c>
      <c r="DB114" s="25">
        <v>7.0009511781466135E-11</v>
      </c>
      <c r="DC114" s="44">
        <f t="shared" si="26"/>
        <v>0</v>
      </c>
      <c r="DD114" s="5">
        <f t="shared" si="31"/>
        <v>78</v>
      </c>
      <c r="DE114" s="30" cm="1">
        <f t="array" ref="DE114">1/2*(rf-q)*DD114*dt-1/2*(sigma^2)*(DD114^2)*dt</f>
        <v>-4.6101580520547936</v>
      </c>
      <c r="DF114" s="25">
        <f t="shared" si="27"/>
        <v>10.241353912328764</v>
      </c>
      <c r="DG114" s="6">
        <f t="shared" si="28"/>
        <v>-4.630929558904108</v>
      </c>
      <c r="DH114" s="5">
        <f t="shared" si="30"/>
        <v>4.8974795037914767</v>
      </c>
      <c r="DI114" s="6">
        <v>5.4145424891594471</v>
      </c>
    </row>
    <row r="115" spans="30:113" x14ac:dyDescent="0.25">
      <c r="AQ115" s="15">
        <f>AP116/$C$14</f>
        <v>155010.19108373378</v>
      </c>
      <c r="AR115" s="16">
        <f>(AS114*$C$15+AS116*(1-$C$15))*EXP(-$C$9*$C$13)</f>
        <v>0</v>
      </c>
      <c r="AS115" s="15">
        <f>AR116/$C$14</f>
        <v>155010.19108373378</v>
      </c>
      <c r="AT115" s="16">
        <f>(AU114*$C$15+AU116*(1-$C$15))*EXP(-$C$9*$C$13)</f>
        <v>0</v>
      </c>
      <c r="AU115" s="15">
        <f>AT116/$C$14</f>
        <v>155010.19108373378</v>
      </c>
      <c r="AV115" s="16">
        <f>(AW114*$C$15+AW116*(1-$C$15))*EXP(-$C$9*$C$13)</f>
        <v>0</v>
      </c>
      <c r="AW115" s="15">
        <f>AV116/$C$14</f>
        <v>155010.19108373378</v>
      </c>
      <c r="AX115" s="16">
        <f>(AY114*$C$15+AY116*(1-$C$15))*EXP(-$C$9*$C$13)</f>
        <v>0</v>
      </c>
      <c r="AY115" s="15">
        <f>AX116/$C$14</f>
        <v>155010.19108373378</v>
      </c>
      <c r="AZ115" s="16">
        <f>(BA114*$C$15+BA116*(1-$C$15))*EXP(-$C$9*$C$13)</f>
        <v>0</v>
      </c>
      <c r="BA115" s="15">
        <f>AZ116/$C$14</f>
        <v>155010.19108373378</v>
      </c>
      <c r="BB115" s="16">
        <f>MAX(0,$C$8-BB114)</f>
        <v>0</v>
      </c>
      <c r="BD115" s="23">
        <f t="shared" si="29"/>
        <v>87020.266666666692</v>
      </c>
      <c r="BE115" s="25">
        <v>5.8285776093334905</v>
      </c>
      <c r="BF115" s="25">
        <v>5.2626008901330437</v>
      </c>
      <c r="BG115" s="25">
        <v>4.7350337748786862</v>
      </c>
      <c r="BH115" s="25">
        <v>4.2447564767191386</v>
      </c>
      <c r="BI115" s="25">
        <v>3.7905870578839536</v>
      </c>
      <c r="BJ115" s="25">
        <v>3.3712840645823019</v>
      </c>
      <c r="BK115" s="25">
        <v>2.985549724108655</v>
      </c>
      <c r="BL115" s="25">
        <v>2.6320337289486146</v>
      </c>
      <c r="BM115" s="25">
        <v>2.3093376274210509</v>
      </c>
      <c r="BN115" s="25">
        <v>2.0160198337734982</v>
      </c>
      <c r="BO115" s="25">
        <v>1.7506012625425855</v>
      </c>
      <c r="BP115" s="25">
        <v>1.5115715822952964</v>
      </c>
      <c r="BQ115" s="25">
        <v>1.2973960725062743</v>
      </c>
      <c r="BR115" s="25">
        <v>1.1065230542705458</v>
      </c>
      <c r="BS115" s="25">
        <v>0.93739185082865206</v>
      </c>
      <c r="BT115" s="25">
        <v>0.78844121759839858</v>
      </c>
      <c r="BU115" s="25">
        <v>0.65811816376611709</v>
      </c>
      <c r="BV115" s="25">
        <v>0.54488706881052107</v>
      </c>
      <c r="BW115" s="25">
        <v>0.44723897807112734</v>
      </c>
      <c r="BX115" s="25">
        <v>0.36370094224501281</v>
      </c>
      <c r="BY115" s="25">
        <v>0.2928452472849925</v>
      </c>
      <c r="BZ115" s="25">
        <v>0.23329836454935593</v>
      </c>
      <c r="CA115" s="25">
        <v>0.18374943731973389</v>
      </c>
      <c r="CB115" s="25">
        <v>0.14295811036050168</v>
      </c>
      <c r="CC115" s="25">
        <v>0.10976150518471313</v>
      </c>
      <c r="CD115" s="25">
        <v>8.308014697662959E-2</v>
      </c>
      <c r="CE115" s="25">
        <v>6.1922660574371541E-2</v>
      </c>
      <c r="CF115" s="25">
        <v>4.5389074150182084E-2</v>
      </c>
      <c r="CG115" s="25">
        <v>3.2672600801522254E-2</v>
      </c>
      <c r="CH115" s="25">
        <v>2.3059810540819407E-2</v>
      </c>
      <c r="CI115" s="25">
        <v>1.5929157610018375E-2</v>
      </c>
      <c r="CJ115" s="25">
        <v>1.0747889172376259E-2</v>
      </c>
      <c r="CK115" s="25">
        <v>7.067428648378166E-3</v>
      </c>
      <c r="CL115" s="25">
        <v>4.517396478215429E-3</v>
      </c>
      <c r="CM115" s="25">
        <v>2.7984980072378908E-3</v>
      </c>
      <c r="CN115" s="25">
        <v>1.6745667439714551E-3</v>
      </c>
      <c r="CO115" s="25">
        <v>9.640952994455623E-4</v>
      </c>
      <c r="CP115" s="25">
        <v>5.3161008635081144E-4</v>
      </c>
      <c r="CQ115" s="25">
        <v>2.7924477831467638E-4</v>
      </c>
      <c r="CR115" s="25">
        <v>1.3883925969513744E-4</v>
      </c>
      <c r="CS115" s="25">
        <v>6.4836085411811088E-5</v>
      </c>
      <c r="CT115" s="25">
        <v>2.8169708619243095E-5</v>
      </c>
      <c r="CU115" s="25">
        <v>1.1252912793533369E-5</v>
      </c>
      <c r="CV115" s="25">
        <v>4.0707848840921731E-6</v>
      </c>
      <c r="CW115" s="25">
        <v>1.3071370973987845E-6</v>
      </c>
      <c r="CX115" s="25">
        <v>3.6241899291739315E-7</v>
      </c>
      <c r="CY115" s="25">
        <v>8.3339643878161626E-8</v>
      </c>
      <c r="CZ115" s="25">
        <v>1.4905286374515428E-8</v>
      </c>
      <c r="DA115" s="25">
        <v>1.8404992910579094E-9</v>
      </c>
      <c r="DB115" s="25">
        <v>1.1586068914202144E-10</v>
      </c>
      <c r="DC115" s="44">
        <f t="shared" si="26"/>
        <v>0</v>
      </c>
      <c r="DD115" s="5">
        <f t="shared" si="31"/>
        <v>77</v>
      </c>
      <c r="DE115" s="30" cm="1">
        <f t="array" ref="DE115">1/2*(rf-q)*DD115*dt-1/2*(sigma^2)*(DD115^2)*dt</f>
        <v>-4.4925751787671224</v>
      </c>
      <c r="DF115" s="25">
        <f t="shared" si="27"/>
        <v>10.005921864383559</v>
      </c>
      <c r="DG115" s="6">
        <f t="shared" si="28"/>
        <v>-4.5130803842465745</v>
      </c>
      <c r="DH115" s="5">
        <f t="shared" si="30"/>
        <v>5.8285776093524362</v>
      </c>
      <c r="DI115" s="6">
        <v>6.4340194668965678</v>
      </c>
    </row>
    <row r="116" spans="30:113" x14ac:dyDescent="0.25">
      <c r="AP116" s="15">
        <f>AO117/$C$14</f>
        <v>149085.14492264896</v>
      </c>
      <c r="AQ116" s="16">
        <f>(AR115*$C$15+AR117*(1-$C$15))*EXP(-$C$9*$C$13)</f>
        <v>0</v>
      </c>
      <c r="AR116" s="15">
        <f>AQ117/$C$14</f>
        <v>149085.14492264896</v>
      </c>
      <c r="AS116" s="16">
        <f>(AT115*$C$15+AT117*(1-$C$15))*EXP(-$C$9*$C$13)</f>
        <v>0</v>
      </c>
      <c r="AT116" s="15">
        <f>AS117/$C$14</f>
        <v>149085.14492264896</v>
      </c>
      <c r="AU116" s="16">
        <f>(AV115*$C$15+AV117*(1-$C$15))*EXP(-$C$9*$C$13)</f>
        <v>0</v>
      </c>
      <c r="AV116" s="15">
        <f>AU117/$C$14</f>
        <v>149085.14492264896</v>
      </c>
      <c r="AW116" s="16">
        <f>(AX115*$C$15+AX117*(1-$C$15))*EXP(-$C$9*$C$13)</f>
        <v>0</v>
      </c>
      <c r="AX116" s="15">
        <f>AW117/$C$14</f>
        <v>149085.14492264896</v>
      </c>
      <c r="AY116" s="16">
        <f>(AZ115*$C$15+AZ117*(1-$C$15))*EXP(-$C$9*$C$13)</f>
        <v>0</v>
      </c>
      <c r="AZ116" s="15">
        <f>AY117/$C$14</f>
        <v>149085.14492264896</v>
      </c>
      <c r="BA116" s="16">
        <f>(BB115*$C$15+BB117*(1-$C$15))*EXP(-$C$9*$C$13)</f>
        <v>0</v>
      </c>
      <c r="BB116" s="15">
        <f>BA117/$C$14</f>
        <v>149085.14492264896</v>
      </c>
      <c r="BD116" s="23">
        <f t="shared" si="29"/>
        <v>85890.13333333336</v>
      </c>
      <c r="BE116" s="25">
        <v>6.8902514341184506</v>
      </c>
      <c r="BF116" s="25">
        <v>6.2319902911533411</v>
      </c>
      <c r="BG116" s="25">
        <v>5.6173829173103016</v>
      </c>
      <c r="BH116" s="25">
        <v>5.0452261931135292</v>
      </c>
      <c r="BI116" s="25">
        <v>4.5142454224582691</v>
      </c>
      <c r="BJ116" s="25">
        <v>4.0230968387558397</v>
      </c>
      <c r="BK116" s="25">
        <v>3.5703707237241198</v>
      </c>
      <c r="BL116" s="25">
        <v>3.1545951713275522</v>
      </c>
      <c r="BM116" s="25">
        <v>2.7742405245721318</v>
      </c>
      <c r="BN116" s="25">
        <v>2.4277245066114959</v>
      </c>
      <c r="BO116" s="25">
        <v>2.1134180597577576</v>
      </c>
      <c r="BP116" s="25">
        <v>1.8296518963665083</v>
      </c>
      <c r="BQ116" s="25">
        <v>1.5747237540530736</v>
      </c>
      <c r="BR116" s="25">
        <v>1.3469063342078367</v>
      </c>
      <c r="BS116" s="25">
        <v>1.14445588727571</v>
      </c>
      <c r="BT116" s="25">
        <v>0.96562139078536646</v>
      </c>
      <c r="BU116" s="25">
        <v>0.80865424678859121</v>
      </c>
      <c r="BV116" s="25">
        <v>0.67181840445002172</v>
      </c>
      <c r="BW116" s="25">
        <v>0.55340079140939347</v>
      </c>
      <c r="BX116" s="25">
        <v>0.45172191479147383</v>
      </c>
      <c r="BY116" s="25">
        <v>0.36514647012899798</v>
      </c>
      <c r="BZ116" s="25">
        <v>0.29209377497512834</v>
      </c>
      <c r="CA116" s="25">
        <v>0.23104782479240876</v>
      </c>
      <c r="CB116" s="25">
        <v>0.18056675336307731</v>
      </c>
      <c r="CC116" s="25">
        <v>0.13929146973389289</v>
      </c>
      <c r="CD116" s="25">
        <v>0.10595324097583585</v>
      </c>
      <c r="CE116" s="25">
        <v>7.9379995774294679E-2</v>
      </c>
      <c r="CF116" s="25">
        <v>5.8501140462920799E-2</v>
      </c>
      <c r="CG116" s="25">
        <v>4.2350707554928403E-2</v>
      </c>
      <c r="CH116" s="25">
        <v>3.0068698169454042E-2</v>
      </c>
      <c r="CI116" s="25">
        <v>2.0900534087050022E-2</v>
      </c>
      <c r="CJ116" s="25">
        <v>1.4194601586544011E-2</v>
      </c>
      <c r="CK116" s="25">
        <v>9.3979455038601684E-3</v>
      </c>
      <c r="CL116" s="25">
        <v>6.0502544233557894E-3</v>
      </c>
      <c r="CM116" s="25">
        <v>3.7763613508689058E-3</v>
      </c>
      <c r="CN116" s="25">
        <v>2.27756204676644E-3</v>
      </c>
      <c r="CO116" s="25">
        <v>1.3221179031722026E-3</v>
      </c>
      <c r="CP116" s="25">
        <v>7.35354124447158E-4</v>
      </c>
      <c r="CQ116" s="25">
        <v>3.8978015403155319E-4</v>
      </c>
      <c r="CR116" s="25">
        <v>1.956430261365317E-4</v>
      </c>
      <c r="CS116" s="25">
        <v>9.2274231043530476E-5</v>
      </c>
      <c r="CT116" s="25">
        <v>4.0509792950813702E-5</v>
      </c>
      <c r="CU116" s="25">
        <v>1.635941096648285E-5</v>
      </c>
      <c r="CV116" s="25">
        <v>5.9858498293339831E-6</v>
      </c>
      <c r="CW116" s="25">
        <v>1.9451052486003102E-6</v>
      </c>
      <c r="CX116" s="25">
        <v>5.460687702815573E-7</v>
      </c>
      <c r="CY116" s="25">
        <v>1.2722081186917386E-7</v>
      </c>
      <c r="CZ116" s="25">
        <v>2.3067981374947941E-8</v>
      </c>
      <c r="DA116" s="25">
        <v>2.8906123421545208E-9</v>
      </c>
      <c r="DB116" s="25">
        <v>1.8458147331271068E-10</v>
      </c>
      <c r="DC116" s="44">
        <f t="shared" si="26"/>
        <v>0</v>
      </c>
      <c r="DD116" s="5">
        <f t="shared" si="31"/>
        <v>76</v>
      </c>
      <c r="DE116" s="30" cm="1">
        <f t="array" ref="DE116">1/2*(rf-q)*DD116*dt-1/2*(sigma^2)*(DD116^2)*dt</f>
        <v>-4.3765112219178066</v>
      </c>
      <c r="DF116" s="25">
        <f t="shared" si="27"/>
        <v>9.7735276493150653</v>
      </c>
      <c r="DG116" s="6">
        <f t="shared" si="28"/>
        <v>-4.3967501260273965</v>
      </c>
      <c r="DH116" s="5">
        <f t="shared" si="30"/>
        <v>6.8902514340926402</v>
      </c>
      <c r="DI116" s="6">
        <v>7.5932959595355873</v>
      </c>
    </row>
    <row r="117" spans="30:113" x14ac:dyDescent="0.25">
      <c r="AO117" s="15">
        <f>AN118/$C$14</f>
        <v>143386.57530330343</v>
      </c>
      <c r="AP117" s="16">
        <f>(AQ116*$C$15+AQ118*(1-$C$15))*EXP(-$C$9*$C$13)</f>
        <v>0</v>
      </c>
      <c r="AQ117" s="15">
        <f>AP118/$C$14</f>
        <v>143386.57530330343</v>
      </c>
      <c r="AR117" s="16">
        <f>(AS116*$C$15+AS118*(1-$C$15))*EXP(-$C$9*$C$13)</f>
        <v>0</v>
      </c>
      <c r="AS117" s="15">
        <f>AR118/$C$14</f>
        <v>143386.57530330343</v>
      </c>
      <c r="AT117" s="16">
        <f>(AU116*$C$15+AU118*(1-$C$15))*EXP(-$C$9*$C$13)</f>
        <v>0</v>
      </c>
      <c r="AU117" s="15">
        <f>AT118/$C$14</f>
        <v>143386.57530330343</v>
      </c>
      <c r="AV117" s="16">
        <f>(AW116*$C$15+AW118*(1-$C$15))*EXP(-$C$9*$C$13)</f>
        <v>0</v>
      </c>
      <c r="AW117" s="15">
        <f>AV118/$C$14</f>
        <v>143386.57530330343</v>
      </c>
      <c r="AX117" s="16">
        <f>(AY116*$C$15+AY118*(1-$C$15))*EXP(-$C$9*$C$13)</f>
        <v>0</v>
      </c>
      <c r="AY117" s="15">
        <f>AX118/$C$14</f>
        <v>143386.57530330343</v>
      </c>
      <c r="AZ117" s="16">
        <f>(BA116*$C$15+BA118*(1-$C$15))*EXP(-$C$9*$C$13)</f>
        <v>0</v>
      </c>
      <c r="BA117" s="15">
        <f>AZ118/$C$14</f>
        <v>143386.57530330343</v>
      </c>
      <c r="BB117" s="16">
        <f>MAX(0,$C$8-BB116)</f>
        <v>0</v>
      </c>
      <c r="BD117" s="23">
        <f t="shared" si="29"/>
        <v>84760.000000000029</v>
      </c>
      <c r="BE117" s="25">
        <v>8.1076618962753351</v>
      </c>
      <c r="BF117" s="25">
        <v>7.3466749532408775</v>
      </c>
      <c r="BG117" s="25">
        <v>6.6348877558385722</v>
      </c>
      <c r="BH117" s="25">
        <v>5.9710297481172976</v>
      </c>
      <c r="BI117" s="25">
        <v>5.3537487512080153</v>
      </c>
      <c r="BJ117" s="25">
        <v>4.7816132002871434</v>
      </c>
      <c r="BK117" s="25">
        <v>4.2531150374676523</v>
      </c>
      <c r="BL117" s="25">
        <v>3.7666733019666832</v>
      </c>
      <c r="BM117" s="25">
        <v>3.320638454891911</v>
      </c>
      <c r="BN117" s="25">
        <v>2.9132974704792094</v>
      </c>
      <c r="BO117" s="25">
        <v>2.5428797183976952</v>
      </c>
      <c r="BP117" s="25">
        <v>2.2075636526167708</v>
      </c>
      <c r="BQ117" s="25">
        <v>1.905484311116179</v>
      </c>
      <c r="BR117" s="25">
        <v>1.6347416172545135</v>
      </c>
      <c r="BS117" s="25">
        <v>1.393409457775679</v>
      </c>
      <c r="BT117" s="25">
        <v>1.179545494171832</v>
      </c>
      <c r="BU117" s="25">
        <v>0.99120164346751061</v>
      </c>
      <c r="BV117" s="25">
        <v>0.82643514159148546</v>
      </c>
      <c r="BW117" s="25">
        <v>0.68332007765674208</v>
      </c>
      <c r="BX117" s="25">
        <v>0.55995926115436134</v>
      </c>
      <c r="BY117" s="25">
        <v>0.45449625698109608</v>
      </c>
      <c r="BZ117" s="25">
        <v>0.36512739631116747</v>
      </c>
      <c r="CA117" s="25">
        <v>0.29011354581695259</v>
      </c>
      <c r="CB117" s="25">
        <v>0.22779139513999327</v>
      </c>
      <c r="CC117" s="25">
        <v>0.17658400467049751</v>
      </c>
      <c r="CD117" s="25">
        <v>0.13501034449810936</v>
      </c>
      <c r="CE117" s="25">
        <v>0.10169355333755123</v>
      </c>
      <c r="CF117" s="25">
        <v>7.5367655212891793E-2</v>
      </c>
      <c r="CG117" s="25">
        <v>5.4882494123398462E-2</v>
      </c>
      <c r="CH117" s="25">
        <v>3.9206684336373206E-2</v>
      </c>
      <c r="CI117" s="25">
        <v>2.7428427440303847E-2</v>
      </c>
      <c r="CJ117" s="25">
        <v>1.8754116774937796E-2</v>
      </c>
      <c r="CK117" s="25">
        <v>1.2504733851327566E-2</v>
      </c>
      <c r="CL117" s="25">
        <v>8.1101366428391504E-3</v>
      </c>
      <c r="CM117" s="25">
        <v>5.1014409546624034E-3</v>
      </c>
      <c r="CN117" s="25">
        <v>3.1017962767990906E-3</v>
      </c>
      <c r="CO117" s="25">
        <v>1.8159477372750028E-3</v>
      </c>
      <c r="CP117" s="25">
        <v>1.0190461751301461E-3</v>
      </c>
      <c r="CQ117" s="25">
        <v>5.4520929413602831E-4</v>
      </c>
      <c r="CR117" s="25">
        <v>2.7634038214474573E-4</v>
      </c>
      <c r="CS117" s="25">
        <v>1.3167266830799474E-4</v>
      </c>
      <c r="CT117" s="25">
        <v>5.8427594318961247E-5</v>
      </c>
      <c r="CU117" s="25">
        <v>2.3860805122853768E-5</v>
      </c>
      <c r="CV117" s="25">
        <v>8.8334198489490809E-6</v>
      </c>
      <c r="CW117" s="25">
        <v>2.9058162425130653E-6</v>
      </c>
      <c r="CX117" s="25">
        <v>8.2630955857427286E-7</v>
      </c>
      <c r="CY117" s="25">
        <v>1.9511567099678695E-7</v>
      </c>
      <c r="CZ117" s="25">
        <v>3.5885087222542493E-8</v>
      </c>
      <c r="DA117" s="25">
        <v>4.5689490436097143E-9</v>
      </c>
      <c r="DB117" s="25">
        <v>3.0069580242730641E-10</v>
      </c>
      <c r="DC117" s="44">
        <f t="shared" si="26"/>
        <v>0</v>
      </c>
      <c r="DD117" s="5">
        <f t="shared" si="31"/>
        <v>75</v>
      </c>
      <c r="DE117" s="30" cm="1">
        <f t="array" ref="DE117">1/2*(rf-q)*DD117*dt-1/2*(sigma^2)*(DD117^2)*dt</f>
        <v>-4.2619661815068488</v>
      </c>
      <c r="DF117" s="25">
        <f t="shared" si="27"/>
        <v>9.5441712671232857</v>
      </c>
      <c r="DG117" s="6">
        <f t="shared" si="28"/>
        <v>-4.2819387842465746</v>
      </c>
      <c r="DH117" s="5">
        <f t="shared" si="30"/>
        <v>8.10766189629107</v>
      </c>
      <c r="DI117" s="6">
        <v>8.9190358928899531</v>
      </c>
    </row>
    <row r="118" spans="30:113" x14ac:dyDescent="0.25">
      <c r="AN118" s="15">
        <f>AM119/$C$14</f>
        <v>137905.82547897083</v>
      </c>
      <c r="AO118" s="16">
        <f>(AP117*$C$15+AP119*(1-$C$15))*EXP(-$C$9*$C$13)</f>
        <v>0</v>
      </c>
      <c r="AP118" s="15">
        <f>AO119/$C$14</f>
        <v>137905.82547897083</v>
      </c>
      <c r="AQ118" s="16">
        <f>(AR117*$C$15+AR119*(1-$C$15))*EXP(-$C$9*$C$13)</f>
        <v>0</v>
      </c>
      <c r="AR118" s="15">
        <f>AQ119/$C$14</f>
        <v>137905.82547897083</v>
      </c>
      <c r="AS118" s="16">
        <f>(AT117*$C$15+AT119*(1-$C$15))*EXP(-$C$9*$C$13)</f>
        <v>0</v>
      </c>
      <c r="AT118" s="15">
        <f>AS119/$C$14</f>
        <v>137905.82547897083</v>
      </c>
      <c r="AU118" s="16">
        <f>(AV117*$C$15+AV119*(1-$C$15))*EXP(-$C$9*$C$13)</f>
        <v>0</v>
      </c>
      <c r="AV118" s="15">
        <f>AU119/$C$14</f>
        <v>137905.82547897083</v>
      </c>
      <c r="AW118" s="16">
        <f>(AX117*$C$15+AX119*(1-$C$15))*EXP(-$C$9*$C$13)</f>
        <v>0</v>
      </c>
      <c r="AX118" s="15">
        <f>AW119/$C$14</f>
        <v>137905.82547897083</v>
      </c>
      <c r="AY118" s="16">
        <f>(AZ117*$C$15+AZ119*(1-$C$15))*EXP(-$C$9*$C$13)</f>
        <v>0</v>
      </c>
      <c r="AZ118" s="15">
        <f>AY119/$C$14</f>
        <v>137905.82547897083</v>
      </c>
      <c r="BA118" s="16">
        <f>(BB117*$C$15+BB119*(1-$C$15))*EXP(-$C$9*$C$13)</f>
        <v>0</v>
      </c>
      <c r="BB118" s="15">
        <f>BA119/$C$14</f>
        <v>137905.82547897083</v>
      </c>
      <c r="BD118" s="23">
        <f t="shared" si="29"/>
        <v>83629.866666666698</v>
      </c>
      <c r="BE118" s="25">
        <v>9.5098370530552767</v>
      </c>
      <c r="BF118" s="25">
        <v>8.6340514550995078</v>
      </c>
      <c r="BG118" s="25">
        <v>7.8133387582068954</v>
      </c>
      <c r="BH118" s="25">
        <v>7.0463797260091248</v>
      </c>
      <c r="BI118" s="25">
        <v>6.3317628758850137</v>
      </c>
      <c r="BJ118" s="25">
        <v>5.6679862917179866</v>
      </c>
      <c r="BK118" s="25">
        <v>5.0534601264055725</v>
      </c>
      <c r="BL118" s="25">
        <v>4.4865098452983707</v>
      </c>
      <c r="BM118" s="25">
        <v>3.9653802588880156</v>
      </c>
      <c r="BN118" s="25">
        <v>3.4882403886967985</v>
      </c>
      <c r="BO118" s="25">
        <v>3.0531892042008972</v>
      </c>
      <c r="BP118" s="25">
        <v>2.658262260493069</v>
      </c>
      <c r="BQ118" s="25">
        <v>2.3014392560049761</v>
      </c>
      <c r="BR118" s="25">
        <v>1.9806525167227114</v>
      </c>
      <c r="BS118" s="25">
        <v>1.6937963977265202</v>
      </c>
      <c r="BT118" s="25">
        <v>1.4387375743998156</v>
      </c>
      <c r="BU118" s="25">
        <v>1.2133261741893178</v>
      </c>
      <c r="BV118" s="25">
        <v>1.0154076753682035</v>
      </c>
      <c r="BW118" s="25">
        <v>0.84283547201030529</v>
      </c>
      <c r="BX118" s="25">
        <v>0.69348397466369383</v>
      </c>
      <c r="BY118" s="25">
        <v>0.56526208458569105</v>
      </c>
      <c r="BZ118" s="25">
        <v>0.45612684671874121</v>
      </c>
      <c r="CA118" s="25">
        <v>0.36409705402379527</v>
      </c>
      <c r="CB118" s="25">
        <v>0.28726654487542413</v>
      </c>
      <c r="CC118" s="25">
        <v>0.22381690794923925</v>
      </c>
      <c r="CD118" s="25">
        <v>0.17202928749219817</v>
      </c>
      <c r="CE118" s="25">
        <v>0.13029496911523719</v>
      </c>
      <c r="CF118" s="25">
        <v>9.7124424576893964E-2</v>
      </c>
      <c r="CG118" s="25">
        <v>7.1154506862669942E-2</v>
      </c>
      <c r="CH118" s="25">
        <v>5.1153516593010123E-2</v>
      </c>
      <c r="CI118" s="25">
        <v>3.6023909677347213E-2</v>
      </c>
      <c r="CJ118" s="25">
        <v>2.4802485293485516E-2</v>
      </c>
      <c r="CK118" s="25">
        <v>1.6657982372815027E-2</v>
      </c>
      <c r="CL118" s="25">
        <v>1.0886119482150796E-2</v>
      </c>
      <c r="CM118" s="25">
        <v>6.9022325625291469E-3</v>
      </c>
      <c r="CN118" s="25">
        <v>4.2317900051297101E-3</v>
      </c>
      <c r="CO118" s="25">
        <v>2.499185035152539E-3</v>
      </c>
      <c r="CP118" s="25">
        <v>1.4153093465504296E-3</v>
      </c>
      <c r="CQ118" s="25">
        <v>7.6448652723191686E-4</v>
      </c>
      <c r="CR118" s="25">
        <v>3.9137705957336679E-4</v>
      </c>
      <c r="CS118" s="25">
        <v>1.8844970773232461E-4</v>
      </c>
      <c r="CT118" s="25">
        <v>8.4543536870004718E-5</v>
      </c>
      <c r="CU118" s="25">
        <v>3.4924768291235847E-5</v>
      </c>
      <c r="CV118" s="25">
        <v>1.3085697454376336E-5</v>
      </c>
      <c r="CW118" s="25">
        <v>4.3591297655493277E-6</v>
      </c>
      <c r="CX118" s="25">
        <v>1.256011413295009E-6</v>
      </c>
      <c r="CY118" s="25">
        <v>3.0069865937982741E-7</v>
      </c>
      <c r="CZ118" s="25">
        <v>5.6109253653768101E-8</v>
      </c>
      <c r="DA118" s="25">
        <v>7.2538497233774973E-9</v>
      </c>
      <c r="DB118" s="25">
        <v>4.8486134275722613E-10</v>
      </c>
      <c r="DC118" s="44">
        <f t="shared" si="26"/>
        <v>0</v>
      </c>
      <c r="DD118" s="5">
        <f t="shared" si="31"/>
        <v>74</v>
      </c>
      <c r="DE118" s="30" cm="1">
        <f t="array" ref="DE118">1/2*(rf-q)*DD118*dt-1/2*(sigma^2)*(DD118^2)*dt</f>
        <v>-4.1489400575342454</v>
      </c>
      <c r="DF118" s="25">
        <f t="shared" si="27"/>
        <v>9.3178527178082167</v>
      </c>
      <c r="DG118" s="6">
        <f t="shared" si="28"/>
        <v>-4.168646358904109</v>
      </c>
      <c r="DH118" s="5">
        <f t="shared" si="30"/>
        <v>9.5098370530552856</v>
      </c>
      <c r="DI118" s="6">
        <v>10.441921366428547</v>
      </c>
    </row>
    <row r="119" spans="30:113" x14ac:dyDescent="0.25">
      <c r="AM119" s="15">
        <f>AL120/$C$14</f>
        <v>132634.56959487207</v>
      </c>
      <c r="AN119" s="16">
        <f>(AO118*$C$15+AO120*(1-$C$15))*EXP(-$C$9*$C$13)</f>
        <v>0</v>
      </c>
      <c r="AO119" s="15">
        <f>AN120/$C$14</f>
        <v>132634.56959487207</v>
      </c>
      <c r="AP119" s="16">
        <f>(AQ118*$C$15+AQ120*(1-$C$15))*EXP(-$C$9*$C$13)</f>
        <v>0</v>
      </c>
      <c r="AQ119" s="15">
        <f>AP120/$C$14</f>
        <v>132634.56959487207</v>
      </c>
      <c r="AR119" s="16">
        <f>(AS118*$C$15+AS120*(1-$C$15))*EXP(-$C$9*$C$13)</f>
        <v>0</v>
      </c>
      <c r="AS119" s="15">
        <f>AR120/$C$14</f>
        <v>132634.56959487207</v>
      </c>
      <c r="AT119" s="16">
        <f>(AU118*$C$15+AU120*(1-$C$15))*EXP(-$C$9*$C$13)</f>
        <v>0</v>
      </c>
      <c r="AU119" s="15">
        <f>AT120/$C$14</f>
        <v>132634.56959487207</v>
      </c>
      <c r="AV119" s="16">
        <f>(AW118*$C$15+AW120*(1-$C$15))*EXP(-$C$9*$C$13)</f>
        <v>0</v>
      </c>
      <c r="AW119" s="15">
        <f>AV120/$C$14</f>
        <v>132634.56959487207</v>
      </c>
      <c r="AX119" s="16">
        <f>(AY118*$C$15+AY120*(1-$C$15))*EXP(-$C$9*$C$13)</f>
        <v>0</v>
      </c>
      <c r="AY119" s="15">
        <f>AX120/$C$14</f>
        <v>132634.56959487207</v>
      </c>
      <c r="AZ119" s="16">
        <f>(BA118*$C$15+BA120*(1-$C$15))*EXP(-$C$9*$C$13)</f>
        <v>0</v>
      </c>
      <c r="BA119" s="15">
        <f>AZ120/$C$14</f>
        <v>132634.56959487207</v>
      </c>
      <c r="BB119" s="16">
        <f>MAX(0,$C$8-BB118)</f>
        <v>0</v>
      </c>
      <c r="BD119" s="23">
        <f t="shared" si="29"/>
        <v>82499.733333333366</v>
      </c>
      <c r="BE119" s="25">
        <v>11.130369128527706</v>
      </c>
      <c r="BF119" s="25">
        <v>10.125909432751955</v>
      </c>
      <c r="BG119" s="25">
        <v>9.1827451936805726</v>
      </c>
      <c r="BH119" s="25">
        <v>8.2995304123254048</v>
      </c>
      <c r="BI119" s="25">
        <v>7.4748157268111228</v>
      </c>
      <c r="BJ119" s="25">
        <v>6.7070496327805937</v>
      </c>
      <c r="BK119" s="25">
        <v>5.9945804152462427</v>
      </c>
      <c r="BL119" s="25">
        <v>5.3356588536327054</v>
      </c>
      <c r="BM119" s="25">
        <v>4.728441760415067</v>
      </c>
      <c r="BN119" s="25">
        <v>4.1709964109611395</v>
      </c>
      <c r="BO119" s="25">
        <v>3.661305917649528</v>
      </c>
      <c r="BP119" s="25">
        <v>3.19727559475302</v>
      </c>
      <c r="BQ119" s="25">
        <v>2.7767403516254161</v>
      </c>
      <c r="BR119" s="25">
        <v>2.3974731400786804</v>
      </c>
      <c r="BS119" s="25">
        <v>2.0571944671631184</v>
      </c>
      <c r="BT119" s="25">
        <v>1.7535829665679845</v>
      </c>
      <c r="BU119" s="25">
        <v>1.4842870002968562</v>
      </c>
      <c r="BV119" s="25">
        <v>1.2469372369798752</v>
      </c>
      <c r="BW119" s="25">
        <v>1.0391601241270196</v>
      </c>
      <c r="BX119" s="25">
        <v>0.85859213894311381</v>
      </c>
      <c r="BY119" s="25">
        <v>0.70289466638988951</v>
      </c>
      <c r="BZ119" s="25">
        <v>0.56976931466586378</v>
      </c>
      <c r="CA119" s="25">
        <v>0.45697343822179648</v>
      </c>
      <c r="CB119" s="25">
        <v>0.36233559828941436</v>
      </c>
      <c r="CC119" s="25">
        <v>0.28377065276845337</v>
      </c>
      <c r="CD119" s="25">
        <v>0.21929413326372438</v>
      </c>
      <c r="CE119" s="25">
        <v>0.16703554089849187</v>
      </c>
      <c r="CF119" s="25">
        <v>0.1252501766615482</v>
      </c>
      <c r="CG119" s="25">
        <v>9.2329121162141412E-2</v>
      </c>
      <c r="CH119" s="25">
        <v>6.680699604888593E-2</v>
      </c>
      <c r="CI119" s="25">
        <v>4.7367178723948508E-2</v>
      </c>
      <c r="CJ119" s="25">
        <v>3.2844206021179767E-2</v>
      </c>
      <c r="CK119" s="25">
        <v>2.2223192508589871E-2</v>
      </c>
      <c r="CL119" s="25">
        <v>1.4636204190020957E-2</v>
      </c>
      <c r="CM119" s="25">
        <v>9.3556649740627815E-3</v>
      </c>
      <c r="CN119" s="25">
        <v>5.7850243380625221E-3</v>
      </c>
      <c r="CO119" s="25">
        <v>3.4470695175816317E-3</v>
      </c>
      <c r="CP119" s="25">
        <v>1.9704103393119346E-3</v>
      </c>
      <c r="CQ119" s="25">
        <v>1.0747831989001144E-3</v>
      </c>
      <c r="CR119" s="25">
        <v>5.5589589887350681E-4</v>
      </c>
      <c r="CS119" s="25">
        <v>2.7055254585953332E-4</v>
      </c>
      <c r="CT119" s="25">
        <v>1.2274833358076029E-4</v>
      </c>
      <c r="CU119" s="25">
        <v>5.1307294957050871E-5</v>
      </c>
      <c r="CV119" s="25">
        <v>1.9462336696694459E-5</v>
      </c>
      <c r="CW119" s="25">
        <v>6.567556301863026E-6</v>
      </c>
      <c r="CX119" s="25">
        <v>1.9180895020306581E-6</v>
      </c>
      <c r="CY119" s="25">
        <v>4.6575470086988706E-7</v>
      </c>
      <c r="CZ119" s="25">
        <v>8.8208474613843603E-8</v>
      </c>
      <c r="DA119" s="25">
        <v>1.158346675432282E-8</v>
      </c>
      <c r="DB119" s="25">
        <v>7.8679664520973263E-10</v>
      </c>
      <c r="DC119" s="44">
        <f t="shared" si="26"/>
        <v>0</v>
      </c>
      <c r="DD119" s="5">
        <f t="shared" si="31"/>
        <v>73</v>
      </c>
      <c r="DE119" s="30" cm="1">
        <f t="array" ref="DE119">1/2*(rf-q)*DD119*dt-1/2*(sigma^2)*(DD119^2)*dt</f>
        <v>-4.0374328499999992</v>
      </c>
      <c r="DF119" s="25">
        <f t="shared" si="27"/>
        <v>9.0945720013698601</v>
      </c>
      <c r="DG119" s="6">
        <f t="shared" si="28"/>
        <v>-4.0568728499999995</v>
      </c>
      <c r="DH119" s="5">
        <f t="shared" si="30"/>
        <v>11.130369128493754</v>
      </c>
      <c r="DI119" s="6">
        <v>12.197366346262804</v>
      </c>
    </row>
    <row r="120" spans="30:113" x14ac:dyDescent="0.25">
      <c r="AL120" s="15">
        <f>AK121/$C$14</f>
        <v>127564.80004029666</v>
      </c>
      <c r="AM120" s="16">
        <f>(AN119*$C$15+AN121*(1-$C$15))*EXP(-$C$9*$C$13)</f>
        <v>0</v>
      </c>
      <c r="AN120" s="15">
        <f>AM121/$C$14</f>
        <v>127564.80004029666</v>
      </c>
      <c r="AO120" s="16">
        <f>(AP119*$C$15+AP121*(1-$C$15))*EXP(-$C$9*$C$13)</f>
        <v>0</v>
      </c>
      <c r="AP120" s="15">
        <f>AO121/$C$14</f>
        <v>127564.80004029666</v>
      </c>
      <c r="AQ120" s="16">
        <f>(AR119*$C$15+AR121*(1-$C$15))*EXP(-$C$9*$C$13)</f>
        <v>0</v>
      </c>
      <c r="AR120" s="15">
        <f>AQ121/$C$14</f>
        <v>127564.80004029666</v>
      </c>
      <c r="AS120" s="16">
        <f>(AT119*$C$15+AT121*(1-$C$15))*EXP(-$C$9*$C$13)</f>
        <v>0</v>
      </c>
      <c r="AT120" s="15">
        <f>AS121/$C$14</f>
        <v>127564.80004029666</v>
      </c>
      <c r="AU120" s="16">
        <f>(AV119*$C$15+AV121*(1-$C$15))*EXP(-$C$9*$C$13)</f>
        <v>0</v>
      </c>
      <c r="AV120" s="15">
        <f>AU121/$C$14</f>
        <v>127564.80004029666</v>
      </c>
      <c r="AW120" s="16">
        <f>(AX119*$C$15+AX121*(1-$C$15))*EXP(-$C$9*$C$13)</f>
        <v>0</v>
      </c>
      <c r="AX120" s="15">
        <f>AW121/$C$14</f>
        <v>127564.80004029666</v>
      </c>
      <c r="AY120" s="16">
        <f>(AZ119*$C$15+AZ121*(1-$C$15))*EXP(-$C$9*$C$13)</f>
        <v>0</v>
      </c>
      <c r="AZ120" s="15">
        <f>AY121/$C$14</f>
        <v>127564.80004029666</v>
      </c>
      <c r="BA120" s="16">
        <f>(BB119*$C$15+BB121*(1-$C$15))*EXP(-$C$9*$C$13)</f>
        <v>0</v>
      </c>
      <c r="BB120" s="15">
        <f>BA121/$C$14</f>
        <v>127564.80004029666</v>
      </c>
      <c r="BD120" s="23">
        <f t="shared" si="29"/>
        <v>81369.600000000035</v>
      </c>
      <c r="BE120" s="25">
        <v>13.008224832776456</v>
      </c>
      <c r="BF120" s="25">
        <v>11.859223439015192</v>
      </c>
      <c r="BG120" s="25">
        <v>10.778107441674718</v>
      </c>
      <c r="BH120" s="25">
        <v>9.7635294626479805</v>
      </c>
      <c r="BI120" s="25">
        <v>8.8140272816902936</v>
      </c>
      <c r="BJ120" s="25">
        <v>7.9280242854883971</v>
      </c>
      <c r="BK120" s="25">
        <v>7.1038306347279194</v>
      </c>
      <c r="BL120" s="25">
        <v>6.339645221858909</v>
      </c>
      <c r="BM120" s="25">
        <v>5.633558492803683</v>
      </c>
      <c r="BN120" s="25">
        <v>4.9835562050641613</v>
      </c>
      <c r="BO120" s="25">
        <v>4.3875241922473949</v>
      </c>
      <c r="BP120" s="25">
        <v>3.8432542005837718</v>
      </c>
      <c r="BQ120" s="25">
        <v>3.3484508561695732</v>
      </c>
      <c r="BR120" s="25">
        <v>2.9007398120042533</v>
      </c>
      <c r="BS120" s="25">
        <v>2.4976771109728073</v>
      </c>
      <c r="BT120" s="25">
        <v>2.1367597843036314</v>
      </c>
      <c r="BU120" s="25">
        <v>1.8154376842915136</v>
      </c>
      <c r="BV120" s="25">
        <v>1.5311265248473447</v>
      </c>
      <c r="BW120" s="25">
        <v>1.2812220734517243</v>
      </c>
      <c r="BX120" s="25">
        <v>1.0631154032313432</v>
      </c>
      <c r="BY120" s="25">
        <v>0.87420907424817773</v>
      </c>
      <c r="BZ120" s="25">
        <v>0.71193406909554657</v>
      </c>
      <c r="CA120" s="25">
        <v>0.5737672603268531</v>
      </c>
      <c r="CB120" s="25">
        <v>0.45724913739620232</v>
      </c>
      <c r="CC120" s="25">
        <v>0.36000147049282366</v>
      </c>
      <c r="CD120" s="25">
        <v>0.27974454058002701</v>
      </c>
      <c r="CE120" s="25">
        <v>0.21431352205986828</v>
      </c>
      <c r="CF120" s="25">
        <v>0.16167357125555551</v>
      </c>
      <c r="CG120" s="25">
        <v>0.11993315434788673</v>
      </c>
      <c r="CH120" s="25">
        <v>8.7355148066610822E-2</v>
      </c>
      <c r="CI120" s="25">
        <v>6.2365270123472365E-2</v>
      </c>
      <c r="CJ120" s="25">
        <v>4.3557448840316683E-2</v>
      </c>
      <c r="CK120" s="25">
        <v>2.9695826095637333E-2</v>
      </c>
      <c r="CL120" s="25">
        <v>1.9713205959714829E-2</v>
      </c>
      <c r="CM120" s="25">
        <v>1.2705911513198694E-2</v>
      </c>
      <c r="CN120" s="25">
        <v>7.9251886273381429E-3</v>
      </c>
      <c r="CO120" s="25">
        <v>4.7654874795798365E-3</v>
      </c>
      <c r="CP120" s="25">
        <v>2.75014492743065E-3</v>
      </c>
      <c r="CQ120" s="25">
        <v>1.5151639446410899E-3</v>
      </c>
      <c r="CR120" s="25">
        <v>7.9191801169384236E-4</v>
      </c>
      <c r="CS120" s="25">
        <v>3.8967702020261953E-4</v>
      </c>
      <c r="CT120" s="25">
        <v>1.7883985703472902E-4</v>
      </c>
      <c r="CU120" s="25">
        <v>7.5659521467999737E-5</v>
      </c>
      <c r="CV120" s="25">
        <v>2.9064777022808348E-5</v>
      </c>
      <c r="CW120" s="25">
        <v>9.9386468075532439E-6</v>
      </c>
      <c r="CX120" s="25">
        <v>2.9432068252013297E-6</v>
      </c>
      <c r="CY120" s="25">
        <v>7.251551224935139E-7</v>
      </c>
      <c r="CZ120" s="25">
        <v>1.3945418893119024E-7</v>
      </c>
      <c r="DA120" s="25">
        <v>1.8616318378421632E-8</v>
      </c>
      <c r="DB120" s="25">
        <v>1.2926039322554105E-9</v>
      </c>
      <c r="DC120" s="44">
        <f t="shared" si="26"/>
        <v>0</v>
      </c>
      <c r="DD120" s="5">
        <f t="shared" si="31"/>
        <v>72</v>
      </c>
      <c r="DE120" s="30" cm="1">
        <f t="array" ref="DE120">1/2*(rf-q)*DD120*dt-1/2*(sigma^2)*(DD120^2)*dt</f>
        <v>-3.9274445589041087</v>
      </c>
      <c r="DF120" s="25">
        <f t="shared" si="27"/>
        <v>8.874329117808216</v>
      </c>
      <c r="DG120" s="6">
        <f t="shared" si="28"/>
        <v>-3.9466182575342459</v>
      </c>
      <c r="DH120" s="5">
        <f t="shared" si="30"/>
        <v>13.008224832796806</v>
      </c>
      <c r="DI120" s="6">
        <v>14.226344356756318</v>
      </c>
    </row>
    <row r="121" spans="30:113" x14ac:dyDescent="0.25">
      <c r="AK121" s="15">
        <f>AJ122/$C$14</f>
        <v>122688.81528417165</v>
      </c>
      <c r="AL121" s="16">
        <f>(AM120*$C$15+AM122*(1-$C$15))*EXP(-$C$9*$C$13)</f>
        <v>0</v>
      </c>
      <c r="AM121" s="15">
        <f>AL122/$C$14</f>
        <v>122688.81528417165</v>
      </c>
      <c r="AN121" s="16">
        <f>(AO120*$C$15+AO122*(1-$C$15))*EXP(-$C$9*$C$13)</f>
        <v>0</v>
      </c>
      <c r="AO121" s="15">
        <f>AN122/$C$14</f>
        <v>122688.81528417165</v>
      </c>
      <c r="AP121" s="16">
        <f>(AQ120*$C$15+AQ122*(1-$C$15))*EXP(-$C$9*$C$13)</f>
        <v>0</v>
      </c>
      <c r="AQ121" s="15">
        <f>AP122/$C$14</f>
        <v>122688.81528417165</v>
      </c>
      <c r="AR121" s="16">
        <f>(AS120*$C$15+AS122*(1-$C$15))*EXP(-$C$9*$C$13)</f>
        <v>0</v>
      </c>
      <c r="AS121" s="15">
        <f>AR122/$C$14</f>
        <v>122688.81528417165</v>
      </c>
      <c r="AT121" s="16">
        <f>(AU120*$C$15+AU122*(1-$C$15))*EXP(-$C$9*$C$13)</f>
        <v>0</v>
      </c>
      <c r="AU121" s="15">
        <f>AT122/$C$14</f>
        <v>122688.81528417165</v>
      </c>
      <c r="AV121" s="16">
        <f>(AW120*$C$15+AW122*(1-$C$15))*EXP(-$C$9*$C$13)</f>
        <v>0</v>
      </c>
      <c r="AW121" s="15">
        <f>AV122/$C$14</f>
        <v>122688.81528417165</v>
      </c>
      <c r="AX121" s="16">
        <f>(AY120*$C$15+AY122*(1-$C$15))*EXP(-$C$9*$C$13)</f>
        <v>0</v>
      </c>
      <c r="AY121" s="15">
        <f>AX122/$C$14</f>
        <v>122688.81528417165</v>
      </c>
      <c r="AZ121" s="16">
        <f>(BA120*$C$15+BA122*(1-$C$15))*EXP(-$C$9*$C$13)</f>
        <v>0</v>
      </c>
      <c r="BA121" s="15">
        <f>AZ122/$C$14</f>
        <v>122688.81528417165</v>
      </c>
      <c r="BB121" s="16">
        <f>MAX(0,$C$8-BB120)</f>
        <v>0</v>
      </c>
      <c r="BD121" s="23">
        <f t="shared" si="29"/>
        <v>80239.466666666704</v>
      </c>
      <c r="BE121" s="25">
        <v>15.188687212524471</v>
      </c>
      <c r="BF121" s="25">
        <v>13.877075685957472</v>
      </c>
      <c r="BG121" s="25">
        <v>12.640319337834033</v>
      </c>
      <c r="BH121" s="25">
        <v>11.477098553767618</v>
      </c>
      <c r="BI121" s="25">
        <v>10.38596721981399</v>
      </c>
      <c r="BJ121" s="25">
        <v>9.3653522136530469</v>
      </c>
      <c r="BK121" s="25">
        <v>8.4135536018915733</v>
      </c>
      <c r="BL121" s="25">
        <v>7.5287456270604345</v>
      </c>
      <c r="BM121" s="25">
        <v>6.7089785706587683</v>
      </c>
      <c r="BN121" s="25">
        <v>5.9521815802490741</v>
      </c>
      <c r="BO121" s="25">
        <v>5.2561665487881388</v>
      </c>
      <c r="BP121" s="25">
        <v>4.6186331326929499</v>
      </c>
      <c r="BQ121" s="25">
        <v>4.037174991134445</v>
      </c>
      <c r="BR121" s="25">
        <v>3.5092873222189733</v>
      </c>
      <c r="BS121" s="25">
        <v>3.0323757615014517</v>
      </c>
      <c r="BT121" s="25">
        <v>2.6037666940845559</v>
      </c>
      <c r="BU121" s="25">
        <v>2.2207190127845271</v>
      </c>
      <c r="BV121" s="25">
        <v>1.8804373308905353</v>
      </c>
      <c r="BW121" s="25">
        <v>1.5800866283675892</v>
      </c>
      <c r="BX121" s="25">
        <v>1.316808274521841</v>
      </c>
      <c r="BY121" s="25">
        <v>1.0877373279159341</v>
      </c>
      <c r="BZ121" s="25">
        <v>0.89002096572451195</v>
      </c>
      <c r="CA121" s="25">
        <v>0.72083784018151875</v>
      </c>
      <c r="CB121" s="25">
        <v>0.57741810024151352</v>
      </c>
      <c r="CC121" s="25">
        <v>0.45706375363369484</v>
      </c>
      <c r="CD121" s="25">
        <v>0.35716898069241715</v>
      </c>
      <c r="CE121" s="25">
        <v>0.27523994961653542</v>
      </c>
      <c r="CF121" s="25">
        <v>0.20891362827123158</v>
      </c>
      <c r="CG121" s="25">
        <v>0.15597504465476281</v>
      </c>
      <c r="CH121" s="25">
        <v>0.11437242381435136</v>
      </c>
      <c r="CI121" s="25">
        <v>8.222962960631458E-2</v>
      </c>
      <c r="CJ121" s="25">
        <v>5.7855372337307649E-2</v>
      </c>
      <c r="CK121" s="25">
        <v>3.9748714102329594E-2</v>
      </c>
      <c r="CL121" s="25">
        <v>2.6600516920823086E-2</v>
      </c>
      <c r="CM121" s="25">
        <v>1.7290635844171801E-2</v>
      </c>
      <c r="CN121" s="25">
        <v>1.0880856849289803E-2</v>
      </c>
      <c r="CO121" s="25">
        <v>6.6038085255784827E-3</v>
      </c>
      <c r="CP121" s="25">
        <v>3.8483216244548143E-3</v>
      </c>
      <c r="CQ121" s="25">
        <v>2.1419491377860692E-3</v>
      </c>
      <c r="CR121" s="25">
        <v>1.1315640644487062E-3</v>
      </c>
      <c r="CS121" s="25">
        <v>5.6309251512134332E-4</v>
      </c>
      <c r="CT121" s="25">
        <v>2.6148896091725927E-4</v>
      </c>
      <c r="CU121" s="25">
        <v>1.1199964396703009E-4</v>
      </c>
      <c r="CV121" s="25">
        <v>4.3585928782218652E-5</v>
      </c>
      <c r="CW121" s="25">
        <v>1.5108032562419519E-5</v>
      </c>
      <c r="CX121" s="25">
        <v>4.5382806941127654E-6</v>
      </c>
      <c r="CY121" s="25">
        <v>1.1349967927604331E-6</v>
      </c>
      <c r="CZ121" s="25">
        <v>2.2172249745241796E-7</v>
      </c>
      <c r="DA121" s="25">
        <v>3.0091101755641934E-8</v>
      </c>
      <c r="DB121" s="25">
        <v>2.1254805059776419E-9</v>
      </c>
      <c r="DC121" s="44">
        <f t="shared" si="26"/>
        <v>0</v>
      </c>
      <c r="DD121" s="5">
        <f t="shared" si="31"/>
        <v>71</v>
      </c>
      <c r="DE121" s="30" cm="1">
        <f t="array" ref="DE121">1/2*(rf-q)*DD121*dt-1/2*(sigma^2)*(DD121^2)*dt</f>
        <v>-3.8189751842465745</v>
      </c>
      <c r="DF121" s="25">
        <f t="shared" si="27"/>
        <v>8.6571240671232843</v>
      </c>
      <c r="DG121" s="6">
        <f t="shared" si="28"/>
        <v>-3.8378825815068485</v>
      </c>
      <c r="DH121" s="5">
        <f t="shared" si="30"/>
        <v>15.188687212496554</v>
      </c>
      <c r="DI121" s="6">
        <v>16.576348167344648</v>
      </c>
    </row>
    <row r="122" spans="30:113" x14ac:dyDescent="0.25">
      <c r="AJ122" s="15">
        <f>AI123/$C$14</f>
        <v>117999.20817559873</v>
      </c>
      <c r="AK122" s="16">
        <f>(AL121*$C$15+AL123*(1-$C$15))*EXP(-$C$9*$C$13)</f>
        <v>0</v>
      </c>
      <c r="AL122" s="15">
        <f>AK123/$C$14</f>
        <v>117999.20817559873</v>
      </c>
      <c r="AM122" s="16">
        <f>(AN121*$C$15+AN123*(1-$C$15))*EXP(-$C$9*$C$13)</f>
        <v>0</v>
      </c>
      <c r="AN122" s="15">
        <f>AM123/$C$14</f>
        <v>117999.20817559873</v>
      </c>
      <c r="AO122" s="16">
        <f>(AP121*$C$15+AP123*(1-$C$15))*EXP(-$C$9*$C$13)</f>
        <v>0</v>
      </c>
      <c r="AP122" s="15">
        <f>AO123/$C$14</f>
        <v>117999.20817559873</v>
      </c>
      <c r="AQ122" s="16">
        <f>(AR121*$C$15+AR123*(1-$C$15))*EXP(-$C$9*$C$13)</f>
        <v>0</v>
      </c>
      <c r="AR122" s="15">
        <f>AQ123/$C$14</f>
        <v>117999.20817559873</v>
      </c>
      <c r="AS122" s="16">
        <f>(AT121*$C$15+AT123*(1-$C$15))*EXP(-$C$9*$C$13)</f>
        <v>0</v>
      </c>
      <c r="AT122" s="15">
        <f>AS123/$C$14</f>
        <v>117999.20817559873</v>
      </c>
      <c r="AU122" s="16">
        <f>(AV121*$C$15+AV123*(1-$C$15))*EXP(-$C$9*$C$13)</f>
        <v>0</v>
      </c>
      <c r="AV122" s="15">
        <f>AU123/$C$14</f>
        <v>117999.20817559873</v>
      </c>
      <c r="AW122" s="16">
        <f>(AX121*$C$15+AX123*(1-$C$15))*EXP(-$C$9*$C$13)</f>
        <v>0</v>
      </c>
      <c r="AX122" s="15">
        <f>AW123/$C$14</f>
        <v>117999.20817559873</v>
      </c>
      <c r="AY122" s="16">
        <f>(AZ121*$C$15+AZ123*(1-$C$15))*EXP(-$C$9*$C$13)</f>
        <v>0</v>
      </c>
      <c r="AZ122" s="15">
        <f>AY123/$C$14</f>
        <v>117999.20817559873</v>
      </c>
      <c r="BA122" s="16">
        <f>(BB121*$C$15+BB123*(1-$C$15))*EXP(-$C$9*$C$13)</f>
        <v>0</v>
      </c>
      <c r="BB122" s="15">
        <f>BA123/$C$14</f>
        <v>117999.20817559873</v>
      </c>
      <c r="BD122" s="23">
        <f t="shared" si="29"/>
        <v>79109.333333333372</v>
      </c>
      <c r="BE122" s="25">
        <v>17.724449927511124</v>
      </c>
      <c r="BF122" s="25">
        <v>16.229730885203765</v>
      </c>
      <c r="BG122" s="25">
        <v>14.817222071344219</v>
      </c>
      <c r="BH122" s="25">
        <v>13.485664804657787</v>
      </c>
      <c r="BI122" s="25">
        <v>12.233662313590429</v>
      </c>
      <c r="BJ122" s="25">
        <v>11.05967807992749</v>
      </c>
      <c r="BK122" s="25">
        <v>9.9620348547624893</v>
      </c>
      <c r="BL122" s="25">
        <v>8.9389144405954326</v>
      </c>
      <c r="BM122" s="25">
        <v>7.9883583386599257</v>
      </c>
      <c r="BN122" s="25">
        <v>7.108269365065472</v>
      </c>
      <c r="BO122" s="25">
        <v>6.2964143426436365</v>
      </c>
      <c r="BP122" s="25">
        <v>5.5504279770805134</v>
      </c>
      <c r="BQ122" s="25">
        <v>4.8678180255023209</v>
      </c>
      <c r="BR122" s="25">
        <v>4.2459718625751064</v>
      </c>
      <c r="BS122" s="25">
        <v>3.6821645427217766</v>
      </c>
      <c r="BT122" s="25">
        <v>3.1735684465107843</v>
      </c>
      <c r="BU122" s="25">
        <v>2.7172645838297833</v>
      </c>
      <c r="BV122" s="25">
        <v>2.310255605280835</v>
      </c>
      <c r="BW122" s="25">
        <v>1.9494805454757185</v>
      </c>
      <c r="BX122" s="25">
        <v>1.631831286774174</v>
      </c>
      <c r="BY122" s="25">
        <v>1.3541706888256577</v>
      </c>
      <c r="BZ122" s="25">
        <v>1.1133522776055538</v>
      </c>
      <c r="CA122" s="25">
        <v>0.90624132739661245</v>
      </c>
      <c r="CB122" s="25">
        <v>0.72973710078914855</v>
      </c>
      <c r="CC122" s="25">
        <v>0.580795936397416</v>
      </c>
      <c r="CD122" s="25">
        <v>0.45645479363655689</v>
      </c>
      <c r="CE122" s="25">
        <v>0.35385478179951135</v>
      </c>
      <c r="CF122" s="25">
        <v>0.27026412108525721</v>
      </c>
      <c r="CG122" s="25">
        <v>0.20309991233928931</v>
      </c>
      <c r="CH122" s="25">
        <v>0.14994803695786971</v>
      </c>
      <c r="CI122" s="25">
        <v>0.10858047755770694</v>
      </c>
      <c r="CJ122" s="25">
        <v>7.6969352723457451E-2</v>
      </c>
      <c r="CK122" s="25">
        <v>5.3297004840854804E-2</v>
      </c>
      <c r="CL122" s="25">
        <v>3.5961576865747219E-2</v>
      </c>
      <c r="CM122" s="25">
        <v>2.3577667320799384E-2</v>
      </c>
      <c r="CN122" s="25">
        <v>1.4971863668875231E-2</v>
      </c>
      <c r="CO122" s="25">
        <v>9.1732166465136652E-3</v>
      </c>
      <c r="CP122" s="25">
        <v>5.3990178864620599E-3</v>
      </c>
      <c r="CQ122" s="25">
        <v>3.0365565425459077E-3</v>
      </c>
      <c r="CR122" s="25">
        <v>1.6218250616448467E-3</v>
      </c>
      <c r="CS122" s="25">
        <v>8.163808433011287E-4</v>
      </c>
      <c r="CT122" s="25">
        <v>3.8370932408215969E-4</v>
      </c>
      <c r="CU122" s="25">
        <v>1.6644165521678456E-4</v>
      </c>
      <c r="CV122" s="25">
        <v>6.5638966706720232E-5</v>
      </c>
      <c r="CW122" s="25">
        <v>2.3071765031554867E-5</v>
      </c>
      <c r="CX122" s="25">
        <v>7.0327259829614519E-6</v>
      </c>
      <c r="CY122" s="25">
        <v>1.7860947033773198E-6</v>
      </c>
      <c r="CZ122" s="25">
        <v>3.5459913572825029E-7</v>
      </c>
      <c r="DA122" s="25">
        <v>4.8954426733690184E-8</v>
      </c>
      <c r="DB122" s="25">
        <v>3.5260196383554192E-9</v>
      </c>
      <c r="DC122" s="44">
        <f t="shared" si="26"/>
        <v>0</v>
      </c>
      <c r="DD122" s="5">
        <f t="shared" si="31"/>
        <v>70</v>
      </c>
      <c r="DE122" s="30" cm="1">
        <f t="array" ref="DE122">1/2*(rf-q)*DD122*dt-1/2*(sigma^2)*(DD122^2)*dt</f>
        <v>-3.7120247260273964</v>
      </c>
      <c r="DF122" s="25">
        <f t="shared" si="27"/>
        <v>8.4429568493150668</v>
      </c>
      <c r="DG122" s="6">
        <f t="shared" si="28"/>
        <v>-3.7306658219178077</v>
      </c>
      <c r="DH122" s="5">
        <f t="shared" si="30"/>
        <v>17.724449927527644</v>
      </c>
      <c r="DI122" s="6">
        <v>19.302502030074702</v>
      </c>
    </row>
    <row r="123" spans="30:113" x14ac:dyDescent="0.25">
      <c r="AI123" s="15">
        <f>AH124/$C$14</f>
        <v>113488.85469158678</v>
      </c>
      <c r="AJ123" s="16">
        <f>(AK122*$C$15+AK124*(1-$C$15))*EXP(-$C$9*$C$13)</f>
        <v>0</v>
      </c>
      <c r="AK123" s="15">
        <f>AJ124/$C$14</f>
        <v>113488.85469158678</v>
      </c>
      <c r="AL123" s="16">
        <f>(AM122*$C$15+AM124*(1-$C$15))*EXP(-$C$9*$C$13)</f>
        <v>0</v>
      </c>
      <c r="AM123" s="15">
        <f>AL124/$C$14</f>
        <v>113488.85469158678</v>
      </c>
      <c r="AN123" s="16">
        <f>(AO122*$C$15+AO124*(1-$C$15))*EXP(-$C$9*$C$13)</f>
        <v>0</v>
      </c>
      <c r="AO123" s="15">
        <f>AN124/$C$14</f>
        <v>113488.85469158678</v>
      </c>
      <c r="AP123" s="16">
        <f>(AQ122*$C$15+AQ124*(1-$C$15))*EXP(-$C$9*$C$13)</f>
        <v>0</v>
      </c>
      <c r="AQ123" s="15">
        <f>AP124/$C$14</f>
        <v>113488.85469158678</v>
      </c>
      <c r="AR123" s="16">
        <f>(AS122*$C$15+AS124*(1-$C$15))*EXP(-$C$9*$C$13)</f>
        <v>0</v>
      </c>
      <c r="AS123" s="15">
        <f>AR124/$C$14</f>
        <v>113488.85469158678</v>
      </c>
      <c r="AT123" s="16">
        <f>(AU122*$C$15+AU124*(1-$C$15))*EXP(-$C$9*$C$13)</f>
        <v>0</v>
      </c>
      <c r="AU123" s="15">
        <f>AT124/$C$14</f>
        <v>113488.85469158678</v>
      </c>
      <c r="AV123" s="16">
        <f>(AW122*$C$15+AW124*(1-$C$15))*EXP(-$C$9*$C$13)</f>
        <v>0</v>
      </c>
      <c r="AW123" s="15">
        <f>AV124/$C$14</f>
        <v>113488.85469158678</v>
      </c>
      <c r="AX123" s="16">
        <f>(AY122*$C$15+AY124*(1-$C$15))*EXP(-$C$9*$C$13)</f>
        <v>0</v>
      </c>
      <c r="AY123" s="15">
        <f>AX124/$C$14</f>
        <v>113488.85469158678</v>
      </c>
      <c r="AZ123" s="16">
        <f>(BA122*$C$15+BA124*(1-$C$15))*EXP(-$C$9*$C$13)</f>
        <v>0</v>
      </c>
      <c r="BA123" s="15">
        <f>AZ124/$C$14</f>
        <v>113488.85469158678</v>
      </c>
      <c r="BB123" s="16">
        <f>MAX(0,$C$8-BB122)</f>
        <v>0</v>
      </c>
      <c r="BD123" s="23">
        <f t="shared" si="29"/>
        <v>77979.200000000041</v>
      </c>
      <c r="BE123" s="25">
        <v>20.67688779896082</v>
      </c>
      <c r="BF123" s="25">
        <v>18.975887473149001</v>
      </c>
      <c r="BG123" s="25">
        <v>17.364834341392793</v>
      </c>
      <c r="BH123" s="25">
        <v>15.842568072023314</v>
      </c>
      <c r="BI123" s="25">
        <v>14.407779030478004</v>
      </c>
      <c r="BJ123" s="25">
        <v>13.059005288347137</v>
      </c>
      <c r="BK123" s="25">
        <v>11.794630245614171</v>
      </c>
      <c r="BL123" s="25">
        <v>10.612880968700797</v>
      </c>
      <c r="BM123" s="25">
        <v>9.5118273550244972</v>
      </c>
      <c r="BN123" s="25">
        <v>8.4893822424338428</v>
      </c>
      <c r="BO123" s="25">
        <v>7.5433025887591763</v>
      </c>
      <c r="BP123" s="25">
        <v>6.6711918523750713</v>
      </c>
      <c r="BQ123" s="25">
        <v>5.8705037085886058</v>
      </c>
      <c r="BR123" s="25">
        <v>5.138547238210732</v>
      </c>
      <c r="BS123" s="25">
        <v>4.4724937230882027</v>
      </c>
      <c r="BT123" s="25">
        <v>3.8693851778016222</v>
      </c>
      <c r="BU123" s="25">
        <v>3.3261447361869738</v>
      </c>
      <c r="BV123" s="25">
        <v>2.8395889947240924</v>
      </c>
      <c r="BW123" s="25">
        <v>2.406442390991351</v>
      </c>
      <c r="BX123" s="25">
        <v>2.0233536631141953</v>
      </c>
      <c r="BY123" s="25">
        <v>1.6869143942805165</v>
      </c>
      <c r="BZ123" s="25">
        <v>1.3936795939438231</v>
      </c>
      <c r="CA123" s="25">
        <v>1.1401902035523481</v>
      </c>
      <c r="CB123" s="25">
        <v>0.92299733925765715</v>
      </c>
      <c r="CC123" s="25">
        <v>0.73868799748533021</v>
      </c>
      <c r="CD123" s="25">
        <v>0.58391185285087754</v>
      </c>
      <c r="CE123" s="25">
        <v>0.45540867436640481</v>
      </c>
      <c r="CF123" s="25">
        <v>0.35003577913994194</v>
      </c>
      <c r="CG123" s="25">
        <v>0.26479483930948927</v>
      </c>
      <c r="CH123" s="25">
        <v>0.19685726511566945</v>
      </c>
      <c r="CI123" s="25">
        <v>0.14358731543472078</v>
      </c>
      <c r="CJ123" s="25">
        <v>0.10256204815798158</v>
      </c>
      <c r="CK123" s="25">
        <v>7.1587229513297962E-2</v>
      </c>
      <c r="CL123" s="25">
        <v>4.8708386499964777E-2</v>
      </c>
      <c r="CM123" s="25">
        <v>3.2216320945054978E-2</v>
      </c>
      <c r="CN123" s="25">
        <v>2.064661394900175E-2</v>
      </c>
      <c r="CO123" s="25">
        <v>1.2772935298843779E-2</v>
      </c>
      <c r="CP123" s="25">
        <v>7.594323478622109E-3</v>
      </c>
      <c r="CQ123" s="25">
        <v>4.3169955817547135E-3</v>
      </c>
      <c r="CR123" s="25">
        <v>2.3316468537372763E-3</v>
      </c>
      <c r="CS123" s="25">
        <v>1.1875591403133529E-3</v>
      </c>
      <c r="CT123" s="25">
        <v>5.6510174928722171E-4</v>
      </c>
      <c r="CU123" s="25">
        <v>2.4832471632744887E-4</v>
      </c>
      <c r="CV123" s="25">
        <v>9.9274836663544502E-5</v>
      </c>
      <c r="CW123" s="25">
        <v>3.5397973956193453E-5</v>
      </c>
      <c r="CX123" s="25">
        <v>1.0953613269447252E-5</v>
      </c>
      <c r="CY123" s="25">
        <v>2.8262237080194142E-6</v>
      </c>
      <c r="CZ123" s="25">
        <v>5.7050343877156936E-7</v>
      </c>
      <c r="DA123" s="25">
        <v>8.0150023774728061E-8</v>
      </c>
      <c r="DB123" s="25">
        <v>5.8795885142107279E-9</v>
      </c>
      <c r="DC123" s="44">
        <f t="shared" si="26"/>
        <v>0</v>
      </c>
      <c r="DD123" s="5">
        <f t="shared" si="31"/>
        <v>69</v>
      </c>
      <c r="DE123" s="30" cm="1">
        <f t="array" ref="DE123">1/2*(rf-q)*DD123*dt-1/2*(sigma^2)*(DD123^2)*dt</f>
        <v>-3.6065931842465746</v>
      </c>
      <c r="DF123" s="25">
        <f t="shared" si="27"/>
        <v>8.2318274643835601</v>
      </c>
      <c r="DG123" s="6">
        <f t="shared" si="28"/>
        <v>-3.6249679787671227</v>
      </c>
      <c r="DH123" s="5">
        <f t="shared" si="30"/>
        <v>20.676887798960763</v>
      </c>
      <c r="DI123" s="6">
        <v>22.468849857405672</v>
      </c>
    </row>
    <row r="124" spans="30:113" x14ac:dyDescent="0.25">
      <c r="AH124" s="15">
        <f>AG125/$C$14</f>
        <v>109150.90311488647</v>
      </c>
      <c r="AI124" s="16">
        <f>(AJ123*$C$15+AJ125*(1-$C$15))*EXP(-$C$9*$C$13)</f>
        <v>0</v>
      </c>
      <c r="AJ124" s="15">
        <f>AI125/$C$14</f>
        <v>109150.90311488647</v>
      </c>
      <c r="AK124" s="16">
        <f>(AL123*$C$15+AL125*(1-$C$15))*EXP(-$C$9*$C$13)</f>
        <v>0</v>
      </c>
      <c r="AL124" s="15">
        <f>AK125/$C$14</f>
        <v>109150.90311488647</v>
      </c>
      <c r="AM124" s="16">
        <f>(AN123*$C$15+AN125*(1-$C$15))*EXP(-$C$9*$C$13)</f>
        <v>0</v>
      </c>
      <c r="AN124" s="15">
        <f>AM125/$C$14</f>
        <v>109150.90311488647</v>
      </c>
      <c r="AO124" s="16">
        <f>(AP123*$C$15+AP125*(1-$C$15))*EXP(-$C$9*$C$13)</f>
        <v>0</v>
      </c>
      <c r="AP124" s="15">
        <f>AO125/$C$14</f>
        <v>109150.90311488647</v>
      </c>
      <c r="AQ124" s="16">
        <f>(AR123*$C$15+AR125*(1-$C$15))*EXP(-$C$9*$C$13)</f>
        <v>0</v>
      </c>
      <c r="AR124" s="15">
        <f>AQ125/$C$14</f>
        <v>109150.90311488647</v>
      </c>
      <c r="AS124" s="16">
        <f>(AT123*$C$15+AT125*(1-$C$15))*EXP(-$C$9*$C$13)</f>
        <v>0</v>
      </c>
      <c r="AT124" s="15">
        <f>AS125/$C$14</f>
        <v>109150.90311488647</v>
      </c>
      <c r="AU124" s="16">
        <f>(AV123*$C$15+AV125*(1-$C$15))*EXP(-$C$9*$C$13)</f>
        <v>0</v>
      </c>
      <c r="AV124" s="15">
        <f>AU125/$C$14</f>
        <v>109150.90311488647</v>
      </c>
      <c r="AW124" s="16">
        <f>(AX123*$C$15+AX125*(1-$C$15))*EXP(-$C$9*$C$13)</f>
        <v>0</v>
      </c>
      <c r="AX124" s="15">
        <f>AW125/$C$14</f>
        <v>109150.90311488647</v>
      </c>
      <c r="AY124" s="16">
        <f>(AZ123*$C$15+AZ125*(1-$C$15))*EXP(-$C$9*$C$13)</f>
        <v>0</v>
      </c>
      <c r="AZ124" s="15">
        <f>AY125/$C$14</f>
        <v>109150.90311488647</v>
      </c>
      <c r="BA124" s="16">
        <f>(BB123*$C$15+BB125*(1-$C$15))*EXP(-$C$9*$C$13)</f>
        <v>0</v>
      </c>
      <c r="BB124" s="15">
        <f>BA125/$C$14</f>
        <v>109150.90311488647</v>
      </c>
      <c r="BD124" s="23">
        <f t="shared" si="29"/>
        <v>76849.066666666709</v>
      </c>
      <c r="BE124" s="25">
        <v>24.117530732259631</v>
      </c>
      <c r="BF124" s="25">
        <v>22.184132911838173</v>
      </c>
      <c r="BG124" s="25">
        <v>20.348787035805309</v>
      </c>
      <c r="BH124" s="25">
        <v>18.610472934701111</v>
      </c>
      <c r="BI124" s="25">
        <v>16.968010684709355</v>
      </c>
      <c r="BJ124" s="25">
        <v>15.420056105091305</v>
      </c>
      <c r="BK124" s="25">
        <v>13.965096780950248</v>
      </c>
      <c r="BL124" s="25">
        <v>12.60144872057619</v>
      </c>
      <c r="BM124" s="25">
        <v>11.327253767631767</v>
      </c>
      <c r="BN124" s="25">
        <v>10.140477899501235</v>
      </c>
      <c r="BO124" s="25">
        <v>9.0389105539235413</v>
      </c>
      <c r="BP124" s="25">
        <v>8.0201651361565691</v>
      </c>
      <c r="BQ124" s="25">
        <v>7.0816808678516647</v>
      </c>
      <c r="BR124" s="25">
        <v>6.220726145899671</v>
      </c>
      <c r="BS124" s="25">
        <v>5.4344035839393392</v>
      </c>
      <c r="BT124" s="25">
        <v>4.7196569100287027</v>
      </c>
      <c r="BU124" s="25">
        <v>4.0732798900308005</v>
      </c>
      <c r="BV124" s="25">
        <v>3.4919274362407378</v>
      </c>
      <c r="BW124" s="25">
        <v>2.9721290432055212</v>
      </c>
      <c r="BX124" s="25">
        <v>2.5103046659498953</v>
      </c>
      <c r="BY124" s="25">
        <v>2.1027831182364842</v>
      </c>
      <c r="BZ124" s="25">
        <v>1.7458230183876713</v>
      </c>
      <c r="CA124" s="25">
        <v>1.435636246065594</v>
      </c>
      <c r="CB124" s="25">
        <v>1.1684137940747803</v>
      </c>
      <c r="CC124" s="25">
        <v>0.94035380414803948</v>
      </c>
      <c r="CD124" s="25">
        <v>0.74769146512059326</v>
      </c>
      <c r="CE124" s="25">
        <v>0.58673032769930844</v>
      </c>
      <c r="CF124" s="25">
        <v>0.45387445507798369</v>
      </c>
      <c r="CG124" s="25">
        <v>0.34566068950172252</v>
      </c>
      <c r="CH124" s="25">
        <v>0.25879017842473834</v>
      </c>
      <c r="CI124" s="25">
        <v>0.19015818232684814</v>
      </c>
      <c r="CJ124" s="25">
        <v>0.13688109280092497</v>
      </c>
      <c r="CK124" s="25">
        <v>9.6319540865268144E-2</v>
      </c>
      <c r="CL124" s="25">
        <v>6.6096489403935102E-2</v>
      </c>
      <c r="CM124" s="25">
        <v>4.4109297730292388E-2</v>
      </c>
      <c r="CN124" s="25">
        <v>2.8534934996399627E-2</v>
      </c>
      <c r="CO124" s="25">
        <v>1.7827810408486841E-2</v>
      </c>
      <c r="CP124" s="25">
        <v>1.0710079034276504E-2</v>
      </c>
      <c r="CQ124" s="25">
        <v>6.1547545213270528E-3</v>
      </c>
      <c r="CR124" s="25">
        <v>3.3624783645881205E-3</v>
      </c>
      <c r="CS124" s="25">
        <v>1.7333049397930342E-3</v>
      </c>
      <c r="CT124" s="25">
        <v>8.3529281423610916E-4</v>
      </c>
      <c r="CU124" s="25">
        <v>3.719703454916874E-4</v>
      </c>
      <c r="CV124" s="25">
        <v>1.5080054022099482E-4</v>
      </c>
      <c r="CW124" s="25">
        <v>5.4567283145012409E-5</v>
      </c>
      <c r="CX124" s="25">
        <v>1.7148766491359663E-5</v>
      </c>
      <c r="CY124" s="25">
        <v>4.4973041221988059E-6</v>
      </c>
      <c r="CZ124" s="25">
        <v>9.2351012979933084E-7</v>
      </c>
      <c r="DA124" s="25">
        <v>1.3210343523581886E-7</v>
      </c>
      <c r="DB124" s="25">
        <v>9.8758157933058501E-9</v>
      </c>
      <c r="DC124" s="44">
        <f t="shared" si="26"/>
        <v>0</v>
      </c>
      <c r="DD124" s="5">
        <f t="shared" si="31"/>
        <v>68</v>
      </c>
      <c r="DE124" s="30" cm="1">
        <f t="array" ref="DE124">1/2*(rf-q)*DD124*dt-1/2*(sigma^2)*(DD124^2)*dt</f>
        <v>-3.502680558904109</v>
      </c>
      <c r="DF124" s="25">
        <f t="shared" si="27"/>
        <v>8.0237359123287639</v>
      </c>
      <c r="DG124" s="6">
        <f t="shared" si="28"/>
        <v>-3.5207890520547935</v>
      </c>
      <c r="DH124" s="5">
        <f t="shared" si="30"/>
        <v>24.117530732222903</v>
      </c>
      <c r="DI124" s="6">
        <v>26.149845841550235</v>
      </c>
    </row>
    <row r="125" spans="30:113" x14ac:dyDescent="0.25">
      <c r="AG125" s="15">
        <f>AF126/$C$14</f>
        <v>104978.76362548704</v>
      </c>
      <c r="AH125" s="16">
        <f>(AI124*$C$15+AI126*(1-$C$15))*EXP(-$C$9*$C$13)</f>
        <v>0</v>
      </c>
      <c r="AI125" s="15">
        <f>AH126/$C$14</f>
        <v>104978.76362548704</v>
      </c>
      <c r="AJ125" s="16">
        <f>(AK124*$C$15+AK126*(1-$C$15))*EXP(-$C$9*$C$13)</f>
        <v>0</v>
      </c>
      <c r="AK125" s="15">
        <f>AJ126/$C$14</f>
        <v>104978.76362548704</v>
      </c>
      <c r="AL125" s="16">
        <f>(AM124*$C$15+AM126*(1-$C$15))*EXP(-$C$9*$C$13)</f>
        <v>0</v>
      </c>
      <c r="AM125" s="15">
        <f>AL126/$C$14</f>
        <v>104978.76362548704</v>
      </c>
      <c r="AN125" s="16">
        <f>(AO124*$C$15+AO126*(1-$C$15))*EXP(-$C$9*$C$13)</f>
        <v>0</v>
      </c>
      <c r="AO125" s="15">
        <f>AN126/$C$14</f>
        <v>104978.76362548704</v>
      </c>
      <c r="AP125" s="16">
        <f>(AQ124*$C$15+AQ126*(1-$C$15))*EXP(-$C$9*$C$13)</f>
        <v>0</v>
      </c>
      <c r="AQ125" s="15">
        <f>AP126/$C$14</f>
        <v>104978.76362548704</v>
      </c>
      <c r="AR125" s="16">
        <f>(AS124*$C$15+AS126*(1-$C$15))*EXP(-$C$9*$C$13)</f>
        <v>0</v>
      </c>
      <c r="AS125" s="15">
        <f>AR126/$C$14</f>
        <v>104978.76362548704</v>
      </c>
      <c r="AT125" s="16">
        <f>(AU124*$C$15+AU126*(1-$C$15))*EXP(-$C$9*$C$13)</f>
        <v>0</v>
      </c>
      <c r="AU125" s="15">
        <f>AT126/$C$14</f>
        <v>104978.76362548704</v>
      </c>
      <c r="AV125" s="16">
        <f>(AW124*$C$15+AW126*(1-$C$15))*EXP(-$C$9*$C$13)</f>
        <v>0</v>
      </c>
      <c r="AW125" s="15">
        <f>AV126/$C$14</f>
        <v>104978.76362548704</v>
      </c>
      <c r="AX125" s="16">
        <f>(AY124*$C$15+AY126*(1-$C$15))*EXP(-$C$9*$C$13)</f>
        <v>0</v>
      </c>
      <c r="AY125" s="15">
        <f>AX126/$C$14</f>
        <v>104978.76362548704</v>
      </c>
      <c r="AZ125" s="16">
        <f>(BA124*$C$15+BA126*(1-$C$15))*EXP(-$C$9*$C$13)</f>
        <v>0</v>
      </c>
      <c r="BA125" s="15">
        <f>AZ126/$C$14</f>
        <v>104978.76362548704</v>
      </c>
      <c r="BB125" s="16">
        <f>MAX(0,$C$8-BB124)</f>
        <v>0</v>
      </c>
      <c r="BD125" s="23">
        <f t="shared" si="29"/>
        <v>75718.933333333378</v>
      </c>
      <c r="BE125" s="25">
        <v>28.12977166807455</v>
      </c>
      <c r="BF125" s="25">
        <v>25.934634488266518</v>
      </c>
      <c r="BG125" s="25">
        <v>23.845994612499968</v>
      </c>
      <c r="BH125" s="25">
        <v>21.863018289757498</v>
      </c>
      <c r="BI125" s="25">
        <v>19.984702782487069</v>
      </c>
      <c r="BJ125" s="25">
        <v>18.209870194286168</v>
      </c>
      <c r="BK125" s="25">
        <v>16.53716170344914</v>
      </c>
      <c r="BL125" s="25">
        <v>14.965032315164587</v>
      </c>
      <c r="BM125" s="25">
        <v>13.491746259077461</v>
      </c>
      <c r="BN125" s="25">
        <v>12.115373173488784</v>
      </c>
      <c r="BO125" s="25">
        <v>10.833785232403923</v>
      </c>
      <c r="BP125" s="25">
        <v>9.6446553865994993</v>
      </c>
      <c r="BQ125" s="25">
        <v>8.5454569043796731</v>
      </c>
      <c r="BR125" s="25">
        <v>7.5334644110999402</v>
      </c>
      <c r="BS125" s="25">
        <v>6.6057566380406847</v>
      </c>
      <c r="BT125" s="25">
        <v>5.759221099796088</v>
      </c>
      <c r="BU125" s="25">
        <v>4.990560923761274</v>
      </c>
      <c r="BV125" s="25">
        <v>4.2963040540556046</v>
      </c>
      <c r="BW125" s="25">
        <v>3.6728150435595412</v>
      </c>
      <c r="BX125" s="25">
        <v>3.116309629661381</v>
      </c>
      <c r="BY125" s="25">
        <v>2.6228722595870346</v>
      </c>
      <c r="BZ125" s="25">
        <v>2.1884766874505641</v>
      </c>
      <c r="CA125" s="25">
        <v>1.8090097050167648</v>
      </c>
      <c r="CB125" s="25">
        <v>1.480297989364453</v>
      </c>
      <c r="CC125" s="25">
        <v>1.1981379513521488</v>
      </c>
      <c r="CD125" s="25">
        <v>0.9583283479737037</v>
      </c>
      <c r="CE125" s="25">
        <v>0.75670527947892885</v>
      </c>
      <c r="CF125" s="25">
        <v>0.58917903066045019</v>
      </c>
      <c r="CG125" s="25">
        <v>0.45177203902936608</v>
      </c>
      <c r="CH125" s="25">
        <v>0.34065708881823481</v>
      </c>
      <c r="CI125" s="25">
        <v>0.2521946494240182</v>
      </c>
      <c r="CJ125" s="25">
        <v>0.18296811602064983</v>
      </c>
      <c r="CK125" s="25">
        <v>0.12981558784683678</v>
      </c>
      <c r="CL125" s="25">
        <v>8.9856759355894392E-2</v>
      </c>
      <c r="CM125" s="25">
        <v>6.0513526043792697E-2</v>
      </c>
      <c r="CN125" s="25">
        <v>3.9523044603063405E-2</v>
      </c>
      <c r="CO125" s="25">
        <v>2.4942255333283696E-2</v>
      </c>
      <c r="CP125" s="25">
        <v>1.5143282246833336E-2</v>
      </c>
      <c r="CQ125" s="25">
        <v>8.7996650721659658E-3</v>
      </c>
      <c r="CR125" s="25">
        <v>4.8640167156508134E-3</v>
      </c>
      <c r="CS125" s="25">
        <v>2.5383825171080552E-3</v>
      </c>
      <c r="CT125" s="25">
        <v>1.2392207955190465E-3</v>
      </c>
      <c r="CU125" s="25">
        <v>5.5942651324496716E-4</v>
      </c>
      <c r="CV125" s="25">
        <v>2.3007827601851446E-4</v>
      </c>
      <c r="CW125" s="25">
        <v>8.4522677497319112E-5</v>
      </c>
      <c r="CX125" s="25">
        <v>2.6989199185380204E-5</v>
      </c>
      <c r="CY125" s="25">
        <v>7.1976784990906509E-6</v>
      </c>
      <c r="CZ125" s="25">
        <v>1.5043653619800952E-6</v>
      </c>
      <c r="DA125" s="25">
        <v>2.192411124937528E-7</v>
      </c>
      <c r="DB125" s="25">
        <v>1.672314423407997E-8</v>
      </c>
      <c r="DC125" s="44">
        <f t="shared" si="26"/>
        <v>0</v>
      </c>
      <c r="DD125" s="5">
        <f t="shared" si="31"/>
        <v>67</v>
      </c>
      <c r="DE125" s="30" cm="1">
        <f t="array" ref="DE125">1/2*(rf-q)*DD125*dt-1/2*(sigma^2)*(DD125^2)*dt</f>
        <v>-3.4002868499999996</v>
      </c>
      <c r="DF125" s="25">
        <f t="shared" si="27"/>
        <v>7.8186821931506847</v>
      </c>
      <c r="DG125" s="6">
        <f t="shared" si="28"/>
        <v>-3.4181290417808214</v>
      </c>
      <c r="DH125" s="5">
        <f t="shared" si="30"/>
        <v>28.129771668095771</v>
      </c>
      <c r="DI125" s="6">
        <v>30.43207739492469</v>
      </c>
    </row>
    <row r="126" spans="30:113" x14ac:dyDescent="0.25">
      <c r="AF126" s="15">
        <f>AE127/$C$14</f>
        <v>100966.09828996324</v>
      </c>
      <c r="AG126" s="16">
        <f>(AH125*$C$15+AH127*(1-$C$15))*EXP(-$C$9*$C$13)</f>
        <v>0</v>
      </c>
      <c r="AH126" s="15">
        <f>AG127/$C$14</f>
        <v>100966.09828996324</v>
      </c>
      <c r="AI126" s="16">
        <f>(AJ125*$C$15+AJ127*(1-$C$15))*EXP(-$C$9*$C$13)</f>
        <v>0</v>
      </c>
      <c r="AJ126" s="15">
        <f>AI127/$C$14</f>
        <v>100966.09828996324</v>
      </c>
      <c r="AK126" s="16">
        <f>(AL125*$C$15+AL127*(1-$C$15))*EXP(-$C$9*$C$13)</f>
        <v>0</v>
      </c>
      <c r="AL126" s="15">
        <f>AK127/$C$14</f>
        <v>100966.09828996324</v>
      </c>
      <c r="AM126" s="16">
        <f>(AN125*$C$15+AN127*(1-$C$15))*EXP(-$C$9*$C$13)</f>
        <v>0</v>
      </c>
      <c r="AN126" s="15">
        <f>AM127/$C$14</f>
        <v>100966.09828996324</v>
      </c>
      <c r="AO126" s="16">
        <f>(AP125*$C$15+AP127*(1-$C$15))*EXP(-$C$9*$C$13)</f>
        <v>0</v>
      </c>
      <c r="AP126" s="15">
        <f>AO127/$C$14</f>
        <v>100966.09828996324</v>
      </c>
      <c r="AQ126" s="16">
        <f>(AR125*$C$15+AR127*(1-$C$15))*EXP(-$C$9*$C$13)</f>
        <v>0</v>
      </c>
      <c r="AR126" s="15">
        <f>AQ127/$C$14</f>
        <v>100966.09828996324</v>
      </c>
      <c r="AS126" s="16">
        <f>(AT125*$C$15+AT127*(1-$C$15))*EXP(-$C$9*$C$13)</f>
        <v>0</v>
      </c>
      <c r="AT126" s="15">
        <f>AS127/$C$14</f>
        <v>100966.09828996324</v>
      </c>
      <c r="AU126" s="16">
        <f>(AV125*$C$15+AV127*(1-$C$15))*EXP(-$C$9*$C$13)</f>
        <v>0</v>
      </c>
      <c r="AV126" s="15">
        <f>AU127/$C$14</f>
        <v>100966.09828996324</v>
      </c>
      <c r="AW126" s="16">
        <f>(AX125*$C$15+AX127*(1-$C$15))*EXP(-$C$9*$C$13)</f>
        <v>0</v>
      </c>
      <c r="AX126" s="15">
        <f>AW127/$C$14</f>
        <v>100966.09828996324</v>
      </c>
      <c r="AY126" s="16">
        <f>(AZ125*$C$15+AZ127*(1-$C$15))*EXP(-$C$9*$C$13)</f>
        <v>0</v>
      </c>
      <c r="AZ126" s="15">
        <f>AY127/$C$14</f>
        <v>100966.09828996324</v>
      </c>
      <c r="BA126" s="16">
        <f>(BB125*$C$15+BB127*(1-$C$15))*EXP(-$C$9*$C$13)</f>
        <v>0</v>
      </c>
      <c r="BB126" s="15">
        <f>BA127/$C$14</f>
        <v>100966.09828996324</v>
      </c>
      <c r="BD126" s="23">
        <f t="shared" si="29"/>
        <v>74588.800000000047</v>
      </c>
      <c r="BE126" s="25">
        <v>32.810843043522382</v>
      </c>
      <c r="BF126" s="25">
        <v>30.321101078304647</v>
      </c>
      <c r="BG126" s="25">
        <v>27.946599632570059</v>
      </c>
      <c r="BH126" s="25">
        <v>25.686741984361909</v>
      </c>
      <c r="BI126" s="25">
        <v>23.540754946566089</v>
      </c>
      <c r="BJ126" s="25">
        <v>21.507680896239179</v>
      </c>
      <c r="BK126" s="25">
        <v>19.58637005656735</v>
      </c>
      <c r="BL126" s="25">
        <v>17.775473143711469</v>
      </c>
      <c r="BM126" s="25">
        <v>16.073434507469042</v>
      </c>
      <c r="BN126" s="25">
        <v>14.478485912647526</v>
      </c>
      <c r="BO126" s="25">
        <v>12.988641127135995</v>
      </c>
      <c r="BP126" s="25">
        <v>11.601691502616898</v>
      </c>
      <c r="BQ126" s="25">
        <v>10.315202754279923</v>
      </c>
      <c r="BR126" s="25">
        <v>9.126513166227447</v>
      </c>
      <c r="BS126" s="25">
        <v>8.0327334687359961</v>
      </c>
      <c r="BT126" s="25">
        <v>7.0307486511617947</v>
      </c>
      <c r="BU126" s="25">
        <v>6.1172219887723571</v>
      </c>
      <c r="BV126" s="25">
        <v>5.2886015715467281</v>
      </c>
      <c r="BW126" s="25">
        <v>4.541129626058404</v>
      </c>
      <c r="BX126" s="25">
        <v>3.8708549155988101</v>
      </c>
      <c r="BY126" s="25">
        <v>3.2736484859976662</v>
      </c>
      <c r="BZ126" s="25">
        <v>2.7452229920829692</v>
      </c>
      <c r="CA126" s="25">
        <v>2.2811557890641772</v>
      </c>
      <c r="CB126" s="25">
        <v>1.8769159008698211</v>
      </c>
      <c r="CC126" s="25">
        <v>1.5278948803080834</v>
      </c>
      <c r="CD126" s="25">
        <v>1.2294414510257157</v>
      </c>
      <c r="CE126" s="25">
        <v>0.97689966675648465</v>
      </c>
      <c r="CF126" s="25">
        <v>0.7656501392899463</v>
      </c>
      <c r="CG126" s="25">
        <v>0.59115367478356573</v>
      </c>
      <c r="CH126" s="25">
        <v>0.44899642518923183</v>
      </c>
      <c r="CI126" s="25">
        <v>0.33493541672070665</v>
      </c>
      <c r="CJ126" s="25">
        <v>0.24494307714190705</v>
      </c>
      <c r="CK126" s="25">
        <v>0.17524916928480663</v>
      </c>
      <c r="CL126" s="25">
        <v>0.12237837765204654</v>
      </c>
      <c r="CM126" s="25">
        <v>8.3181721070211531E-2</v>
      </c>
      <c r="CN126" s="25">
        <v>5.4860012674180871E-2</v>
      </c>
      <c r="CO126" s="25">
        <v>3.4977792786954065E-2</v>
      </c>
      <c r="CP126" s="25">
        <v>2.1466545967956618E-2</v>
      </c>
      <c r="CQ126" s="25">
        <v>1.2616589301866925E-2</v>
      </c>
      <c r="CR126" s="25">
        <v>7.057767315707811E-3</v>
      </c>
      <c r="CS126" s="25">
        <v>3.7299574937345575E-3</v>
      </c>
      <c r="CT126" s="25">
        <v>1.8452879664831933E-3</v>
      </c>
      <c r="CU126" s="25">
        <v>8.4476907600129953E-4</v>
      </c>
      <c r="CV126" s="25">
        <v>3.5259687450602342E-4</v>
      </c>
      <c r="CW126" s="25">
        <v>1.3156205293543555E-4</v>
      </c>
      <c r="CX126" s="25">
        <v>4.2703919320912196E-5</v>
      </c>
      <c r="CY126" s="25">
        <v>1.1587142716420249E-5</v>
      </c>
      <c r="CZ126" s="25">
        <v>2.466326106011856E-6</v>
      </c>
      <c r="DA126" s="25">
        <v>3.6640623243141299E-7</v>
      </c>
      <c r="DB126" s="25">
        <v>2.8519817262330261E-8</v>
      </c>
      <c r="DC126" s="44">
        <f t="shared" si="26"/>
        <v>0</v>
      </c>
      <c r="DD126" s="5">
        <f t="shared" si="31"/>
        <v>66</v>
      </c>
      <c r="DE126" s="30" cm="1">
        <f t="array" ref="DE126">1/2*(rf-q)*DD126*dt-1/2*(sigma^2)*(DD126^2)*dt</f>
        <v>-3.2994120575342456</v>
      </c>
      <c r="DF126" s="25">
        <f t="shared" si="27"/>
        <v>7.6166663068493135</v>
      </c>
      <c r="DG126" s="6">
        <f t="shared" si="28"/>
        <v>-3.3169879479452047</v>
      </c>
      <c r="DH126" s="5">
        <f t="shared" si="30"/>
        <v>32.810843043493136</v>
      </c>
      <c r="DI126" s="6">
        <v>35.416253911369594</v>
      </c>
    </row>
    <row r="127" spans="30:113" x14ac:dyDescent="0.25">
      <c r="AE127" s="35">
        <f>AD128/$C$14</f>
        <v>97106.811433465497</v>
      </c>
      <c r="AF127" s="16">
        <f>(AG126*$C$15+AG128*(1-$C$15))*EXP(-$C$9*$C$13)</f>
        <v>0</v>
      </c>
      <c r="AG127" s="15">
        <f>AF128/$C$14</f>
        <v>97106.811433465497</v>
      </c>
      <c r="AH127" s="16">
        <f>(AI126*$C$15+AI128*(1-$C$15))*EXP(-$C$9*$C$13)</f>
        <v>0</v>
      </c>
      <c r="AI127" s="15">
        <f>AH128/$C$14</f>
        <v>97106.811433465497</v>
      </c>
      <c r="AJ127" s="16">
        <f>(AK126*$C$15+AK128*(1-$C$15))*EXP(-$C$9*$C$13)</f>
        <v>0</v>
      </c>
      <c r="AK127" s="15">
        <f>AJ128/$C$14</f>
        <v>97106.811433465497</v>
      </c>
      <c r="AL127" s="16">
        <f>(AM126*$C$15+AM128*(1-$C$15))*EXP(-$C$9*$C$13)</f>
        <v>0</v>
      </c>
      <c r="AM127" s="15">
        <f>AL128/$C$14</f>
        <v>97106.811433465497</v>
      </c>
      <c r="AN127" s="16">
        <f>(AO126*$C$15+AO128*(1-$C$15))*EXP(-$C$9*$C$13)</f>
        <v>0</v>
      </c>
      <c r="AO127" s="15">
        <f>AN128/$C$14</f>
        <v>97106.811433465497</v>
      </c>
      <c r="AP127" s="16">
        <f>(AQ126*$C$15+AQ128*(1-$C$15))*EXP(-$C$9*$C$13)</f>
        <v>0</v>
      </c>
      <c r="AQ127" s="15">
        <f>AP128/$C$14</f>
        <v>97106.811433465497</v>
      </c>
      <c r="AR127" s="16">
        <f>(AS126*$C$15+AS128*(1-$C$15))*EXP(-$C$9*$C$13)</f>
        <v>0</v>
      </c>
      <c r="AS127" s="15">
        <f>AR128/$C$14</f>
        <v>97106.811433465497</v>
      </c>
      <c r="AT127" s="16">
        <f>(AU126*$C$15+AU128*(1-$C$15))*EXP(-$C$9*$C$13)</f>
        <v>0</v>
      </c>
      <c r="AU127" s="15">
        <f>AT128/$C$14</f>
        <v>97106.811433465497</v>
      </c>
      <c r="AV127" s="16">
        <f>(AW126*$C$15+AW128*(1-$C$15))*EXP(-$C$9*$C$13)</f>
        <v>0</v>
      </c>
      <c r="AW127" s="15">
        <f>AV128/$C$14</f>
        <v>97106.811433465497</v>
      </c>
      <c r="AX127" s="16">
        <f>(AY126*$C$15+AY128*(1-$C$15))*EXP(-$C$9*$C$13)</f>
        <v>0</v>
      </c>
      <c r="AY127" s="15">
        <f>AX128/$C$14</f>
        <v>97106.811433465497</v>
      </c>
      <c r="AZ127" s="16">
        <f>(BA126*$C$15+BA128*(1-$C$15))*EXP(-$C$9*$C$13)</f>
        <v>0</v>
      </c>
      <c r="BA127" s="15">
        <f>AZ128/$C$14</f>
        <v>97106.811433465497</v>
      </c>
      <c r="BB127" s="16">
        <f>MAX(0,$C$8-BB126)</f>
        <v>0</v>
      </c>
      <c r="BD127" s="23">
        <f t="shared" si="29"/>
        <v>73458.666666666715</v>
      </c>
      <c r="BE127" s="25">
        <v>38.274100302453164</v>
      </c>
      <c r="BF127" s="25">
        <v>35.453055655203343</v>
      </c>
      <c r="BG127" s="25">
        <v>32.756231476104674</v>
      </c>
      <c r="BH127" s="25">
        <v>30.183322770565876</v>
      </c>
      <c r="BI127" s="25">
        <v>27.733842961919837</v>
      </c>
      <c r="BJ127" s="25">
        <v>25.407114035604071</v>
      </c>
      <c r="BK127" s="25">
        <v>23.202256747920678</v>
      </c>
      <c r="BL127" s="25">
        <v>21.118181006052598</v>
      </c>
      <c r="BM127" s="25">
        <v>19.153576545059806</v>
      </c>
      <c r="BN127" s="25">
        <v>17.306904048626656</v>
      </c>
      <c r="BO127" s="25">
        <v>15.576386883341668</v>
      </c>
      <c r="BP127" s="25">
        <v>13.96000364112688</v>
      </c>
      <c r="BQ127" s="25">
        <v>12.4554817108368</v>
      </c>
      <c r="BR127" s="25">
        <v>11.060292127590053</v>
      </c>
      <c r="BS127" s="25">
        <v>9.7716459764483208</v>
      </c>
      <c r="BT127" s="25">
        <v>8.5864926547197626</v>
      </c>
      <c r="BU127" s="25">
        <v>7.5015203232229517</v>
      </c>
      <c r="BV127" s="25">
        <v>6.5131588997011027</v>
      </c>
      <c r="BW127" s="25">
        <v>5.6175859651786491</v>
      </c>
      <c r="BX127" s="25">
        <v>4.810735963844567</v>
      </c>
      <c r="BY127" s="25">
        <v>4.0883130759191735</v>
      </c>
      <c r="BZ127" s="25">
        <v>3.4458081272258863</v>
      </c>
      <c r="CA127" s="25">
        <v>2.8785198646087431</v>
      </c>
      <c r="CB127" s="25">
        <v>2.3815808682134354</v>
      </c>
      <c r="CC127" s="25">
        <v>1.9499882850190786</v>
      </c>
      <c r="CD127" s="25">
        <v>1.5786394479641128</v>
      </c>
      <c r="CE127" s="25">
        <v>1.2623722872122689</v>
      </c>
      <c r="CF127" s="25">
        <v>0.99601024146789019</v>
      </c>
      <c r="CG127" s="25">
        <v>0.7744111370448914</v>
      </c>
      <c r="CH127" s="25">
        <v>0.59251922307987492</v>
      </c>
      <c r="CI127" s="25">
        <v>0.44541924078941381</v>
      </c>
      <c r="CJ127" s="25">
        <v>0.32839107662647826</v>
      </c>
      <c r="CK127" s="25">
        <v>0.23696322599142985</v>
      </c>
      <c r="CL127" s="25">
        <v>0.16696300652263321</v>
      </c>
      <c r="CM127" s="25">
        <v>0.11456124800714976</v>
      </c>
      <c r="CN127" s="25">
        <v>7.6309097004501836E-2</v>
      </c>
      <c r="CO127" s="25">
        <v>4.9164659250053561E-2</v>
      </c>
      <c r="CP127" s="25">
        <v>3.0507509115344392E-2</v>
      </c>
      <c r="CQ127" s="25">
        <v>1.8139656193919638E-2</v>
      </c>
      <c r="CR127" s="25">
        <v>1.0272380543830121E-2</v>
      </c>
      <c r="CS127" s="25">
        <v>5.4993947703496212E-3</v>
      </c>
      <c r="CT127" s="25">
        <v>2.7579741576491917E-3</v>
      </c>
      <c r="CU127" s="25">
        <v>1.280869511544568E-3</v>
      </c>
      <c r="CV127" s="25">
        <v>5.427887787713136E-4</v>
      </c>
      <c r="CW127" s="25">
        <v>2.057941388117289E-4</v>
      </c>
      <c r="CX127" s="25">
        <v>6.7936813426105032E-5</v>
      </c>
      <c r="CY127" s="25">
        <v>1.8765309871232807E-5</v>
      </c>
      <c r="CZ127" s="25">
        <v>4.0700718223665042E-6</v>
      </c>
      <c r="DA127" s="25">
        <v>6.1680176716664698E-7</v>
      </c>
      <c r="DB127" s="25">
        <v>4.903437829018095E-8</v>
      </c>
      <c r="DC127" s="44">
        <f t="shared" si="26"/>
        <v>0</v>
      </c>
      <c r="DD127" s="5">
        <f t="shared" si="31"/>
        <v>65</v>
      </c>
      <c r="DE127" s="30" cm="1">
        <f t="array" ref="DE127">1/2*(rf-q)*DD127*dt-1/2*(sigma^2)*(DD127^2)*dt</f>
        <v>-3.2000561815068487</v>
      </c>
      <c r="DF127" s="25">
        <f t="shared" si="27"/>
        <v>7.4176882534246564</v>
      </c>
      <c r="DG127" s="6">
        <f t="shared" si="28"/>
        <v>-3.2173657705479446</v>
      </c>
      <c r="DH127" s="5">
        <f t="shared" si="30"/>
        <v>38.274100302469748</v>
      </c>
      <c r="DI127" s="6">
        <v>41.219498661162106</v>
      </c>
    </row>
    <row r="128" spans="30:113" x14ac:dyDescent="0.25">
      <c r="AD128" s="15">
        <f>AC129/$C$14</f>
        <v>93395.04037972723</v>
      </c>
      <c r="AE128" s="36">
        <f>(AF127*$C$15+AF129*(1-$C$15))*EXP(-$C$9*$C$13)</f>
        <v>0</v>
      </c>
      <c r="AF128" s="15">
        <f>AE129/$C$14</f>
        <v>93395.04037972723</v>
      </c>
      <c r="AG128" s="16">
        <f>(AH127*$C$15+AH129*(1-$C$15))*EXP(-$C$9*$C$13)</f>
        <v>0</v>
      </c>
      <c r="AH128" s="15">
        <f>AG129/$C$14</f>
        <v>93395.04037972723</v>
      </c>
      <c r="AI128" s="16">
        <f>(AJ127*$C$15+AJ129*(1-$C$15))*EXP(-$C$9*$C$13)</f>
        <v>0</v>
      </c>
      <c r="AJ128" s="15">
        <f>AI129/$C$14</f>
        <v>93395.04037972723</v>
      </c>
      <c r="AK128" s="16">
        <f>(AL127*$C$15+AL129*(1-$C$15))*EXP(-$C$9*$C$13)</f>
        <v>0</v>
      </c>
      <c r="AL128" s="15">
        <f>AK129/$C$14</f>
        <v>93395.04037972723</v>
      </c>
      <c r="AM128" s="16">
        <f>(AN127*$C$15+AN129*(1-$C$15))*EXP(-$C$9*$C$13)</f>
        <v>0</v>
      </c>
      <c r="AN128" s="15">
        <f>AM129/$C$14</f>
        <v>93395.04037972723</v>
      </c>
      <c r="AO128" s="16">
        <f>(AP127*$C$15+AP129*(1-$C$15))*EXP(-$C$9*$C$13)</f>
        <v>0</v>
      </c>
      <c r="AP128" s="15">
        <f>AO129/$C$14</f>
        <v>93395.04037972723</v>
      </c>
      <c r="AQ128" s="16">
        <f>(AR127*$C$15+AR129*(1-$C$15))*EXP(-$C$9*$C$13)</f>
        <v>0</v>
      </c>
      <c r="AR128" s="15">
        <f>AQ129/$C$14</f>
        <v>93395.04037972723</v>
      </c>
      <c r="AS128" s="16">
        <f>(AT127*$C$15+AT129*(1-$C$15))*EXP(-$C$9*$C$13)</f>
        <v>0</v>
      </c>
      <c r="AT128" s="15">
        <f>AS129/$C$14</f>
        <v>93395.04037972723</v>
      </c>
      <c r="AU128" s="16">
        <f>(AV127*$C$15+AV129*(1-$C$15))*EXP(-$C$9*$C$13)</f>
        <v>0</v>
      </c>
      <c r="AV128" s="15">
        <f>AU129/$C$14</f>
        <v>93395.04037972723</v>
      </c>
      <c r="AW128" s="16">
        <f>(AX127*$C$15+AX129*(1-$C$15))*EXP(-$C$9*$C$13)</f>
        <v>0</v>
      </c>
      <c r="AX128" s="15">
        <f>AW129/$C$14</f>
        <v>93395.04037972723</v>
      </c>
      <c r="AY128" s="16">
        <f>(AZ127*$C$15+AZ129*(1-$C$15))*EXP(-$C$9*$C$13)</f>
        <v>0</v>
      </c>
      <c r="AZ128" s="15">
        <f>AY129/$C$14</f>
        <v>93395.04037972723</v>
      </c>
      <c r="BA128" s="16">
        <f>(BB127*$C$15+BB129*(1-$C$15))*EXP(-$C$9*$C$13)</f>
        <v>0</v>
      </c>
      <c r="BB128" s="15">
        <f>BA129/$C$14</f>
        <v>93395.04037972723</v>
      </c>
      <c r="BD128" s="23">
        <f t="shared" si="29"/>
        <v>72328.533333333384</v>
      </c>
      <c r="BE128" s="25">
        <v>44.651655206362818</v>
      </c>
      <c r="BF128" s="25">
        <v>41.458462834973645</v>
      </c>
      <c r="BG128" s="25">
        <v>38.398625100787562</v>
      </c>
      <c r="BH128" s="25">
        <v>35.472187032597937</v>
      </c>
      <c r="BI128" s="25">
        <v>32.679009997304135</v>
      </c>
      <c r="BJ128" s="25">
        <v>30.018759927746682</v>
      </c>
      <c r="BK128" s="25">
        <v>27.490895392722564</v>
      </c>
      <c r="BL128" s="25">
        <v>25.094655604305782</v>
      </c>
      <c r="BM128" s="25">
        <v>22.829048478405767</v>
      </c>
      <c r="BN128" s="25">
        <v>20.692838888032814</v>
      </c>
      <c r="BO128" s="25">
        <v>18.684537275118895</v>
      </c>
      <c r="BP128" s="25">
        <v>16.802388816000004</v>
      </c>
      <c r="BQ128" s="25">
        <v>15.044363367727348</v>
      </c>
      <c r="BR128" s="25">
        <v>13.408146457018059</v>
      </c>
      <c r="BS128" s="25">
        <v>11.891131610453336</v>
      </c>
      <c r="BT128" s="25">
        <v>10.490414362791249</v>
      </c>
      <c r="BU128" s="25">
        <v>9.2027883189516562</v>
      </c>
      <c r="BV128" s="25">
        <v>8.0247436828916729</v>
      </c>
      <c r="BW128" s="25">
        <v>6.9524687012432587</v>
      </c>
      <c r="BX128" s="25">
        <v>5.981854498624199</v>
      </c>
      <c r="BY128" s="25">
        <v>5.1085038016342104</v>
      </c>
      <c r="BZ128" s="25">
        <v>4.3277440555694575</v>
      </c>
      <c r="CA128" s="25">
        <v>3.6346454268277091</v>
      </c>
      <c r="CB128" s="25">
        <v>3.0240441489623264</v>
      </c>
      <c r="CC128" s="25">
        <v>2.4905716047365223</v>
      </c>
      <c r="CD128" s="25">
        <v>2.028689433153656</v>
      </c>
      <c r="CE128" s="25">
        <v>1.6327308020174109</v>
      </c>
      <c r="CF128" s="25">
        <v>1.296947786411901</v>
      </c>
      <c r="CG128" s="25">
        <v>1.0155645366108252</v>
      </c>
      <c r="CH128" s="25">
        <v>0.78283560305503019</v>
      </c>
      <c r="CI128" s="25">
        <v>0.59310841462007879</v>
      </c>
      <c r="CJ128" s="25">
        <v>0.44088848865787877</v>
      </c>
      <c r="CK128" s="25">
        <v>0.32090550745699453</v>
      </c>
      <c r="CL128" s="25">
        <v>0.22817795672548927</v>
      </c>
      <c r="CM128" s="25">
        <v>0.15807363240562741</v>
      </c>
      <c r="CN128" s="25">
        <v>0.10636304082114643</v>
      </c>
      <c r="CO128" s="25">
        <v>6.9262613047185256E-2</v>
      </c>
      <c r="CP128" s="25">
        <v>4.3464801146441093E-2</v>
      </c>
      <c r="CQ128" s="25">
        <v>2.6152588205586389E-2</v>
      </c>
      <c r="CR128" s="25">
        <v>1.4996768809002043E-2</v>
      </c>
      <c r="CS128" s="25">
        <v>8.1355397444015914E-3</v>
      </c>
      <c r="CT128" s="25">
        <v>4.1374138119271734E-3</v>
      </c>
      <c r="CU128" s="25">
        <v>1.9500816459620974E-3</v>
      </c>
      <c r="CV128" s="25">
        <v>8.3936360049168554E-4</v>
      </c>
      <c r="CW128" s="25">
        <v>3.235245357143738E-4</v>
      </c>
      <c r="CX128" s="25">
        <v>1.0867766956609167E-4</v>
      </c>
      <c r="CY128" s="25">
        <v>3.057604253972348E-5</v>
      </c>
      <c r="CZ128" s="25">
        <v>6.7619539323612079E-6</v>
      </c>
      <c r="DA128" s="25">
        <v>1.0460220887856064E-6</v>
      </c>
      <c r="DB128" s="25">
        <v>8.4981792050493513E-8</v>
      </c>
      <c r="DC128" s="44">
        <f t="shared" si="26"/>
        <v>0</v>
      </c>
      <c r="DD128" s="5">
        <f t="shared" si="31"/>
        <v>64</v>
      </c>
      <c r="DE128" s="30" cm="1">
        <f t="array" ref="DE128">1/2*(rf-q)*DD128*dt-1/2*(sigma^2)*(DD128^2)*dt</f>
        <v>-3.1022192219178075</v>
      </c>
      <c r="DF128" s="25">
        <f t="shared" si="27"/>
        <v>7.221748032876711</v>
      </c>
      <c r="DG128" s="6">
        <f t="shared" si="28"/>
        <v>-3.1192625095890403</v>
      </c>
      <c r="DH128" s="5">
        <f t="shared" si="30"/>
        <v>44.651655206362847</v>
      </c>
      <c r="DI128" s="6">
        <v>47.977985061723174</v>
      </c>
    </row>
    <row r="129" spans="14:113" x14ac:dyDescent="0.25">
      <c r="AC129" s="15">
        <f>AB130/$C$14</f>
        <v>89825.146545022246</v>
      </c>
      <c r="AD129" s="16">
        <f>(AE128*$C$15+AE130*(1-$C$15))*EXP(-$C$9*$C$13)</f>
        <v>1.2682050726551468E-4</v>
      </c>
      <c r="AE129" s="15">
        <f>AD130/$C$14</f>
        <v>89825.146545022246</v>
      </c>
      <c r="AF129" s="16">
        <f>(AG128*$C$15+AG130*(1-$C$15))*EXP(-$C$9*$C$13)</f>
        <v>0</v>
      </c>
      <c r="AG129" s="15">
        <f>AF130/$C$14</f>
        <v>89825.146545022246</v>
      </c>
      <c r="AH129" s="16">
        <f>(AI128*$C$15+AI130*(1-$C$15))*EXP(-$C$9*$C$13)</f>
        <v>0</v>
      </c>
      <c r="AI129" s="15">
        <f>AH130/$C$14</f>
        <v>89825.146545022246</v>
      </c>
      <c r="AJ129" s="16">
        <f>(AK128*$C$15+AK130*(1-$C$15))*EXP(-$C$9*$C$13)</f>
        <v>0</v>
      </c>
      <c r="AK129" s="15">
        <f>AJ130/$C$14</f>
        <v>89825.146545022246</v>
      </c>
      <c r="AL129" s="16">
        <f>(AM128*$C$15+AM130*(1-$C$15))*EXP(-$C$9*$C$13)</f>
        <v>0</v>
      </c>
      <c r="AM129" s="15">
        <f>AL130/$C$14</f>
        <v>89825.146545022246</v>
      </c>
      <c r="AN129" s="16">
        <f>(AO128*$C$15+AO130*(1-$C$15))*EXP(-$C$9*$C$13)</f>
        <v>0</v>
      </c>
      <c r="AO129" s="15">
        <f>AN130/$C$14</f>
        <v>89825.146545022246</v>
      </c>
      <c r="AP129" s="16">
        <f>(AQ128*$C$15+AQ130*(1-$C$15))*EXP(-$C$9*$C$13)</f>
        <v>0</v>
      </c>
      <c r="AQ129" s="15">
        <f>AP130/$C$14</f>
        <v>89825.146545022246</v>
      </c>
      <c r="AR129" s="16">
        <f>(AS128*$C$15+AS130*(1-$C$15))*EXP(-$C$9*$C$13)</f>
        <v>0</v>
      </c>
      <c r="AS129" s="15">
        <f>AR130/$C$14</f>
        <v>89825.146545022246</v>
      </c>
      <c r="AT129" s="16">
        <f>(AU128*$C$15+AU130*(1-$C$15))*EXP(-$C$9*$C$13)</f>
        <v>0</v>
      </c>
      <c r="AU129" s="15">
        <f>AT130/$C$14</f>
        <v>89825.146545022246</v>
      </c>
      <c r="AV129" s="16">
        <f>(AW128*$C$15+AW130*(1-$C$15))*EXP(-$C$9*$C$13)</f>
        <v>0</v>
      </c>
      <c r="AW129" s="15">
        <f>AV130/$C$14</f>
        <v>89825.146545022246</v>
      </c>
      <c r="AX129" s="16">
        <f>(AY128*$C$15+AY130*(1-$C$15))*EXP(-$C$9*$C$13)</f>
        <v>0</v>
      </c>
      <c r="AY129" s="15">
        <f>AX130/$C$14</f>
        <v>89825.146545022246</v>
      </c>
      <c r="AZ129" s="16">
        <f>(BA128*$C$15+BA130*(1-$C$15))*EXP(-$C$9*$C$13)</f>
        <v>0</v>
      </c>
      <c r="BA129" s="15">
        <f>AZ130/$C$14</f>
        <v>89825.146545022246</v>
      </c>
      <c r="BB129" s="16">
        <f>MAX(0,$C$8-BB128)</f>
        <v>0</v>
      </c>
      <c r="BD129" s="23">
        <f t="shared" si="29"/>
        <v>71198.400000000052</v>
      </c>
      <c r="BE129" s="25">
        <v>52.097405951427433</v>
      </c>
      <c r="BF129" s="25">
        <v>48.486760350591119</v>
      </c>
      <c r="BG129" s="25">
        <v>45.018650670668585</v>
      </c>
      <c r="BH129" s="25">
        <v>41.693533094087194</v>
      </c>
      <c r="BI129" s="25">
        <v>38.511681829125649</v>
      </c>
      <c r="BJ129" s="25">
        <v>35.473175460738808</v>
      </c>
      <c r="BK129" s="25">
        <v>32.577882889263201</v>
      </c>
      <c r="BL129" s="25">
        <v>29.825448933816258</v>
      </c>
      <c r="BM129" s="25">
        <v>27.215279698898406</v>
      </c>
      <c r="BN129" s="25">
        <v>24.746527827834075</v>
      </c>
      <c r="BO129" s="25">
        <v>22.418077795529147</v>
      </c>
      <c r="BP129" s="25">
        <v>20.228531425823082</v>
      </c>
      <c r="BQ129" s="25">
        <v>18.176193855637887</v>
      </c>
      <c r="BR129" s="25">
        <v>16.25906020921482</v>
      </c>
      <c r="BS129" s="25">
        <v>14.474803290853982</v>
      </c>
      <c r="BT129" s="25">
        <v>12.820762653350107</v>
      </c>
      <c r="BU129" s="25">
        <v>11.293935451044305</v>
      </c>
      <c r="BV129" s="25">
        <v>9.8909695399336286</v>
      </c>
      <c r="BW129" s="25">
        <v>8.6081593408901931</v>
      </c>
      <c r="BX129" s="25">
        <v>7.4414450333192441</v>
      </c>
      <c r="BY129" s="25">
        <v>6.3864156922476836</v>
      </c>
      <c r="BZ129" s="25">
        <v>5.4383170175679405</v>
      </c>
      <c r="CA129" s="25">
        <v>4.5920643244699297</v>
      </c>
      <c r="CB129" s="25">
        <v>3.8422614621745166</v>
      </c>
      <c r="CC129" s="25">
        <v>3.1832262957832698</v>
      </c>
      <c r="CD129" s="25">
        <v>2.6090233139556722</v>
      </c>
      <c r="CE129" s="25">
        <v>2.1135038027956843</v>
      </c>
      <c r="CF129" s="25">
        <v>1.6903538428963234</v>
      </c>
      <c r="CG129" s="25">
        <v>1.3331501318351289</v>
      </c>
      <c r="CH129" s="25">
        <v>1.0354232996657213</v>
      </c>
      <c r="CI129" s="25">
        <v>0.79072796717016147</v>
      </c>
      <c r="CJ129" s="25">
        <v>0.59271829709209056</v>
      </c>
      <c r="CK129" s="25">
        <v>0.43522722184357387</v>
      </c>
      <c r="CL129" s="25">
        <v>0.31234692382221774</v>
      </c>
      <c r="CM129" s="25">
        <v>0.21850754205383971</v>
      </c>
      <c r="CN129" s="25">
        <v>0.14855054700553602</v>
      </c>
      <c r="CO129" s="25">
        <v>9.7792850305404924E-2</v>
      </c>
      <c r="CP129" s="25">
        <v>6.2077600179915558E-2</v>
      </c>
      <c r="CQ129" s="25">
        <v>3.7807864540369218E-2</v>
      </c>
      <c r="CR129" s="25">
        <v>2.1960116134152274E-2</v>
      </c>
      <c r="CS129" s="25">
        <v>1.2075661235138284E-2</v>
      </c>
      <c r="CT129" s="25">
        <v>6.2298734024353267E-3</v>
      </c>
      <c r="CU129" s="25">
        <v>2.9811775962854583E-3</v>
      </c>
      <c r="CV129" s="25">
        <v>1.3039204896219815E-3</v>
      </c>
      <c r="CW129" s="25">
        <v>5.1118536585805679E-4</v>
      </c>
      <c r="CX129" s="25">
        <v>1.7482773135244238E-4</v>
      </c>
      <c r="CY129" s="25">
        <v>5.0130755580111061E-5</v>
      </c>
      <c r="CZ129" s="25">
        <v>1.1311735394415667E-5</v>
      </c>
      <c r="DA129" s="25">
        <v>1.7874815237536023E-6</v>
      </c>
      <c r="DB129" s="25">
        <v>1.48527863032379E-7</v>
      </c>
      <c r="DC129" s="44">
        <f t="shared" si="26"/>
        <v>0</v>
      </c>
      <c r="DD129" s="5">
        <f t="shared" si="31"/>
        <v>63</v>
      </c>
      <c r="DE129" s="30" cm="1">
        <f t="array" ref="DE129">1/2*(rf-q)*DD129*dt-1/2*(sigma^2)*(DD129^2)*dt</f>
        <v>-3.0059011787671226</v>
      </c>
      <c r="DF129" s="25">
        <f t="shared" si="27"/>
        <v>7.0288456452054779</v>
      </c>
      <c r="DG129" s="6">
        <f t="shared" si="28"/>
        <v>-3.0226781650684926</v>
      </c>
      <c r="DH129" s="5">
        <f t="shared" si="30"/>
        <v>52.097405951388282</v>
      </c>
      <c r="DI129" s="6">
        <v>55.84996249542823</v>
      </c>
    </row>
    <row r="130" spans="14:113" x14ac:dyDescent="0.25">
      <c r="AB130" s="15">
        <f>AA131/$C$14</f>
        <v>86391.706872543102</v>
      </c>
      <c r="AC130" s="16">
        <f>(AD129*$C$15+AD131*(1-$C$15))*EXP(-$C$9*$C$13)</f>
        <v>1.7503955088723623E-3</v>
      </c>
      <c r="AD130" s="15">
        <f>AC131/$C$14</f>
        <v>86391.706872543102</v>
      </c>
      <c r="AE130" s="16">
        <f>(AF129*$C$15+AF131*(1-$C$15))*EXP(-$C$9*$C$13)</f>
        <v>2.4885974218449993E-4</v>
      </c>
      <c r="AF130" s="15">
        <f>AE131/$C$14</f>
        <v>86391.706872543102</v>
      </c>
      <c r="AG130" s="16">
        <f>(AH129*$C$15+AH131*(1-$C$15))*EXP(-$C$9*$C$13)</f>
        <v>0</v>
      </c>
      <c r="AH130" s="15">
        <f>AG131/$C$14</f>
        <v>86391.706872543102</v>
      </c>
      <c r="AI130" s="16">
        <f>(AJ129*$C$15+AJ131*(1-$C$15))*EXP(-$C$9*$C$13)</f>
        <v>0</v>
      </c>
      <c r="AJ130" s="15">
        <f>AI131/$C$14</f>
        <v>86391.706872543102</v>
      </c>
      <c r="AK130" s="16">
        <f>(AL129*$C$15+AL131*(1-$C$15))*EXP(-$C$9*$C$13)</f>
        <v>0</v>
      </c>
      <c r="AL130" s="15">
        <f>AK131/$C$14</f>
        <v>86391.706872543102</v>
      </c>
      <c r="AM130" s="16">
        <f>(AN129*$C$15+AN131*(1-$C$15))*EXP(-$C$9*$C$13)</f>
        <v>0</v>
      </c>
      <c r="AN130" s="15">
        <f>AM131/$C$14</f>
        <v>86391.706872543102</v>
      </c>
      <c r="AO130" s="16">
        <f>(AP129*$C$15+AP131*(1-$C$15))*EXP(-$C$9*$C$13)</f>
        <v>0</v>
      </c>
      <c r="AP130" s="15">
        <f>AO131/$C$14</f>
        <v>86391.706872543102</v>
      </c>
      <c r="AQ130" s="16">
        <f>(AR129*$C$15+AR131*(1-$C$15))*EXP(-$C$9*$C$13)</f>
        <v>0</v>
      </c>
      <c r="AR130" s="15">
        <f>AQ131/$C$14</f>
        <v>86391.706872543102</v>
      </c>
      <c r="AS130" s="16">
        <f>(AT129*$C$15+AT131*(1-$C$15))*EXP(-$C$9*$C$13)</f>
        <v>0</v>
      </c>
      <c r="AT130" s="15">
        <f>AS131/$C$14</f>
        <v>86391.706872543102</v>
      </c>
      <c r="AU130" s="16">
        <f>(AV129*$C$15+AV131*(1-$C$15))*EXP(-$C$9*$C$13)</f>
        <v>0</v>
      </c>
      <c r="AV130" s="15">
        <f>AU131/$C$14</f>
        <v>86391.706872543102</v>
      </c>
      <c r="AW130" s="16">
        <f>(AX129*$C$15+AX131*(1-$C$15))*EXP(-$C$9*$C$13)</f>
        <v>0</v>
      </c>
      <c r="AX130" s="15">
        <f>AW131/$C$14</f>
        <v>86391.706872543102</v>
      </c>
      <c r="AY130" s="16">
        <f>(AZ129*$C$15+AZ131*(1-$C$15))*EXP(-$C$9*$C$13)</f>
        <v>0</v>
      </c>
      <c r="AZ130" s="15">
        <f>AY131/$C$14</f>
        <v>86391.706872543102</v>
      </c>
      <c r="BA130" s="16">
        <f>(BB129*$C$15+BB131*(1-$C$15))*EXP(-$C$9*$C$13)</f>
        <v>0</v>
      </c>
      <c r="BB130" s="15">
        <f>BA131/$C$14</f>
        <v>86391.706872543102</v>
      </c>
      <c r="BD130" s="23">
        <f t="shared" si="29"/>
        <v>70068.266666666721</v>
      </c>
      <c r="BE130" s="25">
        <v>60.790515224505242</v>
      </c>
      <c r="BF130" s="25">
        <v>56.71234786603511</v>
      </c>
      <c r="BG130" s="25">
        <v>52.78580982152733</v>
      </c>
      <c r="BH130" s="25">
        <v>49.011831301215544</v>
      </c>
      <c r="BI130" s="25">
        <v>45.391166763022028</v>
      </c>
      <c r="BJ130" s="25">
        <v>41.924379511788977</v>
      </c>
      <c r="BK130" s="25">
        <v>38.611825605083126</v>
      </c>
      <c r="BL130" s="25">
        <v>35.453637116757939</v>
      </c>
      <c r="BM130" s="25">
        <v>32.449704830913703</v>
      </c>
      <c r="BN130" s="25">
        <v>29.599660464384726</v>
      </c>
      <c r="BO130" s="25">
        <v>26.902858545887494</v>
      </c>
      <c r="BP130" s="25">
        <v>24.358358114958563</v>
      </c>
      <c r="BQ130" s="25">
        <v>21.964904444240357</v>
      </c>
      <c r="BR130" s="25">
        <v>19.720911034907267</v>
      </c>
      <c r="BS130" s="25">
        <v>17.624442187307555</v>
      </c>
      <c r="BT130" s="25">
        <v>15.673196507278609</v>
      </c>
      <c r="BU130" s="25">
        <v>13.864491772833507</v>
      </c>
      <c r="BV130" s="25">
        <v>12.19525165536499</v>
      </c>
      <c r="BW130" s="25">
        <v>10.66199486296666</v>
      </c>
      <c r="BX130" s="25">
        <v>9.2608273489824207</v>
      </c>
      <c r="BY130" s="25">
        <v>7.9874383035694017</v>
      </c>
      <c r="BZ130" s="25">
        <v>6.8371007158002479</v>
      </c>
      <c r="CA130" s="25">
        <v>5.8046773530780635</v>
      </c>
      <c r="CB130" s="25">
        <v>4.8846330461044767</v>
      </c>
      <c r="CC130" s="25">
        <v>4.0710541820757662</v>
      </c>
      <c r="CD130" s="25">
        <v>3.3576762848275017</v>
      </c>
      <c r="CE130" s="25">
        <v>2.7379204848617387</v>
      </c>
      <c r="CF130" s="25">
        <v>2.2049395393661633</v>
      </c>
      <c r="CG130" s="25">
        <v>1.7516738361491437</v>
      </c>
      <c r="CH130" s="25">
        <v>1.3709174900972612</v>
      </c>
      <c r="CI130" s="25">
        <v>1.0553942024280782</v>
      </c>
      <c r="CJ130" s="25">
        <v>0.79784199447041726</v>
      </c>
      <c r="CK130" s="25">
        <v>0.59110525031802352</v>
      </c>
      <c r="CL130" s="25">
        <v>0.42823172459387887</v>
      </c>
      <c r="CM130" s="25">
        <v>0.30257133126068447</v>
      </c>
      <c r="CN130" s="25">
        <v>0.20787269338718439</v>
      </c>
      <c r="CO130" s="25">
        <v>0.13837269990286846</v>
      </c>
      <c r="CP130" s="25">
        <v>8.8873813184808595E-2</v>
      </c>
      <c r="CQ130" s="25">
        <v>5.4803754617301845E-2</v>
      </c>
      <c r="CR130" s="25">
        <v>3.2252623779192073E-2</v>
      </c>
      <c r="CS130" s="25">
        <v>1.7983614217831876E-2</v>
      </c>
      <c r="CT130" s="25">
        <v>9.4153363352606299E-3</v>
      </c>
      <c r="CU130" s="25">
        <v>4.5762806843657041E-3</v>
      </c>
      <c r="CV130" s="25">
        <v>2.0349120403679319E-3</v>
      </c>
      <c r="CW130" s="25">
        <v>8.118379965141874E-4</v>
      </c>
      <c r="CX130" s="25">
        <v>2.8284655833485758E-4</v>
      </c>
      <c r="CY130" s="25">
        <v>8.2713334898006346E-5</v>
      </c>
      <c r="CZ130" s="25">
        <v>1.9056444652963543E-5</v>
      </c>
      <c r="DA130" s="25">
        <v>3.078496139414692E-6</v>
      </c>
      <c r="DB130" s="25">
        <v>2.6186698916313768E-7</v>
      </c>
      <c r="DC130" s="44">
        <f t="shared" si="26"/>
        <v>0</v>
      </c>
      <c r="DD130" s="5">
        <f t="shared" si="31"/>
        <v>62</v>
      </c>
      <c r="DE130" s="30" cm="1">
        <f t="array" ref="DE130">1/2*(rf-q)*DD130*dt-1/2*(sigma^2)*(DD130^2)*dt</f>
        <v>-2.9111020520547939</v>
      </c>
      <c r="DF130" s="25">
        <f t="shared" si="27"/>
        <v>6.8389810904109574</v>
      </c>
      <c r="DG130" s="6">
        <f t="shared" si="28"/>
        <v>-2.9276127369863008</v>
      </c>
      <c r="DH130" s="5">
        <f t="shared" si="30"/>
        <v>60.79051522452707</v>
      </c>
      <c r="DI130" s="6">
        <v>65.019220608443106</v>
      </c>
    </row>
    <row r="131" spans="14:113" x14ac:dyDescent="0.25">
      <c r="AA131" s="15">
        <f>Z132/$C$14</f>
        <v>83089.505594188318</v>
      </c>
      <c r="AB131" s="16">
        <f>(AC130*$C$15+AC132*(1-$C$15))*EXP(-$C$9*$C$13)</f>
        <v>1.2566811288583198E-2</v>
      </c>
      <c r="AC131" s="15">
        <f>AB132/$C$14</f>
        <v>83089.505594188318</v>
      </c>
      <c r="AD131" s="16">
        <f>(AE130*$C$15+AE132*(1-$C$15))*EXP(-$C$9*$C$13)</f>
        <v>3.3128262134368533E-3</v>
      </c>
      <c r="AE131" s="15">
        <f>AD132/$C$14</f>
        <v>83089.505594188318</v>
      </c>
      <c r="AF131" s="16">
        <f>(AG130*$C$15+AG132*(1-$C$15))*EXP(-$C$9*$C$13)</f>
        <v>4.8833719889225069E-4</v>
      </c>
      <c r="AG131" s="15">
        <f>AF132/$C$14</f>
        <v>83089.505594188318</v>
      </c>
      <c r="AH131" s="16">
        <f>(AI130*$C$15+AI132*(1-$C$15))*EXP(-$C$9*$C$13)</f>
        <v>0</v>
      </c>
      <c r="AI131" s="15">
        <f>AH132/$C$14</f>
        <v>83089.505594188318</v>
      </c>
      <c r="AJ131" s="16">
        <f>(AK130*$C$15+AK132*(1-$C$15))*EXP(-$C$9*$C$13)</f>
        <v>0</v>
      </c>
      <c r="AK131" s="15">
        <f>AJ132/$C$14</f>
        <v>83089.505594188318</v>
      </c>
      <c r="AL131" s="16">
        <f>(AM130*$C$15+AM132*(1-$C$15))*EXP(-$C$9*$C$13)</f>
        <v>0</v>
      </c>
      <c r="AM131" s="15">
        <f>AL132/$C$14</f>
        <v>83089.505594188318</v>
      </c>
      <c r="AN131" s="16">
        <f>(AO130*$C$15+AO132*(1-$C$15))*EXP(-$C$9*$C$13)</f>
        <v>0</v>
      </c>
      <c r="AO131" s="15">
        <f>AN132/$C$14</f>
        <v>83089.505594188318</v>
      </c>
      <c r="AP131" s="16">
        <f>(AQ130*$C$15+AQ132*(1-$C$15))*EXP(-$C$9*$C$13)</f>
        <v>0</v>
      </c>
      <c r="AQ131" s="15">
        <f>AP132/$C$14</f>
        <v>83089.505594188318</v>
      </c>
      <c r="AR131" s="16">
        <f>(AS130*$C$15+AS132*(1-$C$15))*EXP(-$C$9*$C$13)</f>
        <v>0</v>
      </c>
      <c r="AS131" s="15">
        <f>AR132/$C$14</f>
        <v>83089.505594188318</v>
      </c>
      <c r="AT131" s="16">
        <f>(AU130*$C$15+AU132*(1-$C$15))*EXP(-$C$9*$C$13)</f>
        <v>0</v>
      </c>
      <c r="AU131" s="15">
        <f>AT132/$C$14</f>
        <v>83089.505594188318</v>
      </c>
      <c r="AV131" s="16">
        <f>(AW130*$C$15+AW132*(1-$C$15))*EXP(-$C$9*$C$13)</f>
        <v>0</v>
      </c>
      <c r="AW131" s="15">
        <f>AV132/$C$14</f>
        <v>83089.505594188318</v>
      </c>
      <c r="AX131" s="16">
        <f>(AY130*$C$15+AY132*(1-$C$15))*EXP(-$C$9*$C$13)</f>
        <v>0</v>
      </c>
      <c r="AY131" s="15">
        <f>AX132/$C$14</f>
        <v>83089.505594188318</v>
      </c>
      <c r="AZ131" s="16">
        <f>(BA130*$C$15+BA132*(1-$C$15))*EXP(-$C$9*$C$13)</f>
        <v>0</v>
      </c>
      <c r="BA131" s="15">
        <f>AZ132/$C$14</f>
        <v>83089.505594188318</v>
      </c>
      <c r="BB131" s="16">
        <f>MAX(0,$C$8-BB130)</f>
        <v>0</v>
      </c>
      <c r="BD131" s="23">
        <f t="shared" si="29"/>
        <v>68938.13333333339</v>
      </c>
      <c r="BE131" s="25">
        <v>70.939391100206649</v>
      </c>
      <c r="BF131" s="25">
        <v>66.338590745442417</v>
      </c>
      <c r="BG131" s="25">
        <v>61.898259003885741</v>
      </c>
      <c r="BH131" s="25">
        <v>57.619863260298558</v>
      </c>
      <c r="BI131" s="25">
        <v>53.504706678535719</v>
      </c>
      <c r="BJ131" s="25">
        <v>49.553911276040857</v>
      </c>
      <c r="BK131" s="25">
        <v>45.768400004366008</v>
      </c>
      <c r="BL131" s="25">
        <v>42.148877853760652</v>
      </c>
      <c r="BM131" s="25">
        <v>38.695812019705123</v>
      </c>
      <c r="BN131" s="25">
        <v>35.409411193568715</v>
      </c>
      <c r="BO131" s="25">
        <v>32.289604069034901</v>
      </c>
      <c r="BP131" s="25">
        <v>29.336017191273367</v>
      </c>
      <c r="BQ131" s="25">
        <v>26.54795231780567</v>
      </c>
      <c r="BR131" s="25">
        <v>23.92436350934328</v>
      </c>
      <c r="BS131" s="25">
        <v>21.463834226271189</v>
      </c>
      <c r="BT131" s="25">
        <v>19.164554772483246</v>
      </c>
      <c r="BU131" s="25">
        <v>17.024300503316372</v>
      </c>
      <c r="BV131" s="25">
        <v>15.040411298428282</v>
      </c>
      <c r="BW131" s="25">
        <v>13.209772893170381</v>
      </c>
      <c r="BX131" s="25">
        <v>11.528800762186368</v>
      </c>
      <c r="BY131" s="25">
        <v>9.9934273545187544</v>
      </c>
      <c r="BZ131" s="25">
        <v>8.5990935870568084</v>
      </c>
      <c r="CA131" s="25">
        <v>7.3407456076812361</v>
      </c>
      <c r="CB131" s="25">
        <v>6.212837933849789</v>
      </c>
      <c r="CC131" s="25">
        <v>5.2093441469895074</v>
      </c>
      <c r="CD131" s="25">
        <v>4.32377636533149</v>
      </c>
      <c r="CE131" s="25">
        <v>3.5492147118736432</v>
      </c>
      <c r="CF131" s="25">
        <v>2.8783479207322635</v>
      </c>
      <c r="CG131" s="25">
        <v>2.3035260618445421</v>
      </c>
      <c r="CH131" s="25">
        <v>1.816826086475487</v>
      </c>
      <c r="CI131" s="25">
        <v>1.4101304788565754</v>
      </c>
      <c r="CJ131" s="25">
        <v>1.0752187216378755</v>
      </c>
      <c r="CK131" s="25">
        <v>0.80387052901425371</v>
      </c>
      <c r="CL131" s="25">
        <v>0.58797887273679827</v>
      </c>
      <c r="CM131" s="25">
        <v>0.41966974516637645</v>
      </c>
      <c r="CN131" s="25">
        <v>0.29142442645210553</v>
      </c>
      <c r="CO131" s="25">
        <v>0.19619884858209807</v>
      </c>
      <c r="CP131" s="25">
        <v>0.12753362594567944</v>
      </c>
      <c r="CQ131" s="25">
        <v>7.9647648133855678E-2</v>
      </c>
      <c r="CR131" s="25">
        <v>4.7508040504767007E-2</v>
      </c>
      <c r="CS131" s="25">
        <v>2.6870030723023679E-2</v>
      </c>
      <c r="CT131" s="25">
        <v>1.4282003510852886E-2</v>
      </c>
      <c r="CU131" s="25">
        <v>7.0538411685518547E-3</v>
      </c>
      <c r="CV131" s="25">
        <v>3.1903768906092187E-3</v>
      </c>
      <c r="CW131" s="25">
        <v>1.2959852561260882E-3</v>
      </c>
      <c r="CX131" s="25">
        <v>4.6025216233062867E-4</v>
      </c>
      <c r="CY131" s="25">
        <v>1.37355208160654E-4</v>
      </c>
      <c r="CZ131" s="25">
        <v>3.233544012583543E-5</v>
      </c>
      <c r="DA131" s="25">
        <v>5.3446544133115543E-6</v>
      </c>
      <c r="DB131" s="25">
        <v>4.6581998545646327E-7</v>
      </c>
      <c r="DC131" s="44">
        <f t="shared" si="26"/>
        <v>0</v>
      </c>
      <c r="DD131" s="5">
        <f t="shared" si="31"/>
        <v>61</v>
      </c>
      <c r="DE131" s="30" cm="1">
        <f t="array" ref="DE131">1/2*(rf-q)*DD131*dt-1/2*(sigma^2)*(DD131^2)*dt</f>
        <v>-2.8178218417808214</v>
      </c>
      <c r="DF131" s="25">
        <f t="shared" si="27"/>
        <v>6.6521543684931501</v>
      </c>
      <c r="DG131" s="6">
        <f t="shared" si="28"/>
        <v>-2.8340662253424656</v>
      </c>
      <c r="DH131" s="5">
        <f t="shared" si="30"/>
        <v>70.939391100176323</v>
      </c>
      <c r="DI131" s="6">
        <v>75.69904439197002</v>
      </c>
    </row>
    <row r="132" spans="14:113" x14ac:dyDescent="0.25">
      <c r="Z132" s="15">
        <f>Y133/$C$14</f>
        <v>79913.526307243606</v>
      </c>
      <c r="AA132" s="16">
        <f>(AB131*$C$15+AB133*(1-$C$15))*EXP(-$C$9*$C$13)</f>
        <v>6.2498580439798078E-2</v>
      </c>
      <c r="AB132" s="15">
        <f>AA133/$C$14</f>
        <v>79913.526307243606</v>
      </c>
      <c r="AC132" s="16">
        <f>(AD131*$C$15+AD133*(1-$C$15))*EXP(-$C$9*$C$13)</f>
        <v>2.2976350889164578E-2</v>
      </c>
      <c r="AD132" s="15">
        <f>AC133/$C$14</f>
        <v>79913.526307243606</v>
      </c>
      <c r="AE132" s="16">
        <f>(AF131*$C$15+AF133*(1-$C$15))*EXP(-$C$9*$C$13)</f>
        <v>6.2614078126741442E-3</v>
      </c>
      <c r="AF132" s="15">
        <f>AE133/$C$14</f>
        <v>79913.526307243606</v>
      </c>
      <c r="AG132" s="16">
        <f>(AH131*$C$15+AH133*(1-$C$15))*EXP(-$C$9*$C$13)</f>
        <v>9.5826354929328045E-4</v>
      </c>
      <c r="AH132" s="15">
        <f>AG133/$C$14</f>
        <v>79913.526307243606</v>
      </c>
      <c r="AI132" s="16">
        <f>(AJ131*$C$15+AJ133*(1-$C$15))*EXP(-$C$9*$C$13)</f>
        <v>0</v>
      </c>
      <c r="AJ132" s="15">
        <f>AI133/$C$14</f>
        <v>79913.526307243606</v>
      </c>
      <c r="AK132" s="16">
        <f>(AL131*$C$15+AL133*(1-$C$15))*EXP(-$C$9*$C$13)</f>
        <v>0</v>
      </c>
      <c r="AL132" s="15">
        <f>AK133/$C$14</f>
        <v>79913.526307243606</v>
      </c>
      <c r="AM132" s="16">
        <f>(AN131*$C$15+AN133*(1-$C$15))*EXP(-$C$9*$C$13)</f>
        <v>0</v>
      </c>
      <c r="AN132" s="15">
        <f>AM133/$C$14</f>
        <v>79913.526307243606</v>
      </c>
      <c r="AO132" s="16">
        <f>(AP131*$C$15+AP133*(1-$C$15))*EXP(-$C$9*$C$13)</f>
        <v>0</v>
      </c>
      <c r="AP132" s="15">
        <f>AO133/$C$14</f>
        <v>79913.526307243606</v>
      </c>
      <c r="AQ132" s="16">
        <f>(AR131*$C$15+AR133*(1-$C$15))*EXP(-$C$9*$C$13)</f>
        <v>0</v>
      </c>
      <c r="AR132" s="15">
        <f>AQ133/$C$14</f>
        <v>79913.526307243606</v>
      </c>
      <c r="AS132" s="16">
        <f>(AT131*$C$15+AT133*(1-$C$15))*EXP(-$C$9*$C$13)</f>
        <v>0</v>
      </c>
      <c r="AT132" s="15">
        <f>AS133/$C$14</f>
        <v>79913.526307243606</v>
      </c>
      <c r="AU132" s="16">
        <f>(AV131*$C$15+AV133*(1-$C$15))*EXP(-$C$9*$C$13)</f>
        <v>0</v>
      </c>
      <c r="AV132" s="15">
        <f>AU133/$C$14</f>
        <v>79913.526307243606</v>
      </c>
      <c r="AW132" s="16">
        <f>(AX131*$C$15+AX133*(1-$C$15))*EXP(-$C$9*$C$13)</f>
        <v>0</v>
      </c>
      <c r="AX132" s="15">
        <f>AW133/$C$14</f>
        <v>79913.526307243606</v>
      </c>
      <c r="AY132" s="16">
        <f>(AZ131*$C$15+AZ133*(1-$C$15))*EXP(-$C$9*$C$13)</f>
        <v>0</v>
      </c>
      <c r="AZ132" s="15">
        <f>AY133/$C$14</f>
        <v>79913.526307243606</v>
      </c>
      <c r="BA132" s="16">
        <f>(BB131*$C$15+BB133*(1-$C$15))*EXP(-$C$9*$C$13)</f>
        <v>0</v>
      </c>
      <c r="BB132" s="15">
        <f>BA133/$C$14</f>
        <v>79913.526307243606</v>
      </c>
      <c r="BD132" s="23">
        <f t="shared" si="29"/>
        <v>67808.000000000058</v>
      </c>
      <c r="BE132" s="25">
        <v>82.786228775097769</v>
      </c>
      <c r="BF132" s="25">
        <v>77.602399957947483</v>
      </c>
      <c r="BG132" s="25">
        <v>72.58742442451377</v>
      </c>
      <c r="BH132" s="25">
        <v>67.743368248885133</v>
      </c>
      <c r="BI132" s="25">
        <v>63.072150873196094</v>
      </c>
      <c r="BJ132" s="25">
        <v>58.575526999743992</v>
      </c>
      <c r="BK132" s="25">
        <v>54.255067180349805</v>
      </c>
      <c r="BL132" s="25">
        <v>50.112137080643407</v>
      </c>
      <c r="BM132" s="25">
        <v>46.14787541355939</v>
      </c>
      <c r="BN132" s="25">
        <v>42.363170557619519</v>
      </c>
      <c r="BO132" s="25">
        <v>38.75863590240818</v>
      </c>
      <c r="BP132" s="25">
        <v>35.334583996984954</v>
      </c>
      <c r="BQ132" s="25">
        <v>32.090999617875582</v>
      </c>
      <c r="BR132" s="25">
        <v>29.027511922878734</v>
      </c>
      <c r="BS132" s="25">
        <v>26.143365916400111</v>
      </c>
      <c r="BT132" s="25">
        <v>23.437393522559582</v>
      </c>
      <c r="BU132" s="25">
        <v>20.907984645018857</v>
      </c>
      <c r="BV132" s="25">
        <v>18.553058688256868</v>
      </c>
      <c r="BW132" s="25">
        <v>16.370037124451063</v>
      </c>
      <c r="BX132" s="25">
        <v>14.355817813213056</v>
      </c>
      <c r="BY132" s="25">
        <v>12.506751917335349</v>
      </c>
      <c r="BZ132" s="25">
        <v>10.818624404369796</v>
      </c>
      <c r="CA132" s="25">
        <v>9.2866392775235074</v>
      </c>
      <c r="CB132" s="25">
        <v>7.9054108339955294</v>
      </c>
      <c r="CC132" s="25">
        <v>6.6689623955228585</v>
      </c>
      <c r="CD132" s="25">
        <v>5.5707340818966111</v>
      </c>
      <c r="CE132" s="25">
        <v>4.603601286442748</v>
      </c>
      <c r="CF132" s="25">
        <v>3.7599055407144637</v>
      </c>
      <c r="CG132" s="25">
        <v>3.0314993961983463</v>
      </c>
      <c r="CH132" s="25">
        <v>2.4098067706107287</v>
      </c>
      <c r="CI132" s="25">
        <v>1.8858998681696655</v>
      </c>
      <c r="CJ132" s="25">
        <v>1.4505932479299466</v>
      </c>
      <c r="CK132" s="25">
        <v>1.0945548463350219</v>
      </c>
      <c r="CL132" s="25">
        <v>0.80843273362896162</v>
      </c>
      <c r="CM132" s="25">
        <v>0.58299509471129252</v>
      </c>
      <c r="CN132" s="25">
        <v>0.40927940381391215</v>
      </c>
      <c r="CO132" s="25">
        <v>0.27874509126988828</v>
      </c>
      <c r="CP132" s="25">
        <v>0.18342232959269736</v>
      </c>
      <c r="CQ132" s="25">
        <v>0.11604812453657234</v>
      </c>
      <c r="CR132" s="25">
        <v>7.0179992867721502E-2</v>
      </c>
      <c r="CS132" s="25">
        <v>4.0277505635155988E-2</v>
      </c>
      <c r="CT132" s="25">
        <v>2.1743235605338106E-2</v>
      </c>
      <c r="CU132" s="25">
        <v>1.0917432927367285E-2</v>
      </c>
      <c r="CV132" s="25">
        <v>5.0250937264848085E-3</v>
      </c>
      <c r="CW132" s="25">
        <v>2.0796343893110581E-3</v>
      </c>
      <c r="CX132" s="25">
        <v>7.533149702698916E-4</v>
      </c>
      <c r="CY132" s="25">
        <v>2.2959491628951267E-4</v>
      </c>
      <c r="CZ132" s="25">
        <v>5.5272653243298974E-5</v>
      </c>
      <c r="DA132" s="25">
        <v>9.3558133340327977E-6</v>
      </c>
      <c r="DB132" s="25">
        <v>8.3631581202476313E-7</v>
      </c>
      <c r="DC132" s="44">
        <f t="shared" si="26"/>
        <v>0</v>
      </c>
      <c r="DD132" s="5">
        <f t="shared" si="31"/>
        <v>60</v>
      </c>
      <c r="DE132" s="30" cm="1">
        <f t="array" ref="DE132">1/2*(rf-q)*DD132*dt-1/2*(sigma^2)*(DD132^2)*dt</f>
        <v>-2.7260605479452047</v>
      </c>
      <c r="DF132" s="25">
        <f t="shared" si="27"/>
        <v>6.4683654794520535</v>
      </c>
      <c r="DG132" s="6">
        <f t="shared" si="28"/>
        <v>-2.7420386301369857</v>
      </c>
      <c r="DH132" s="5">
        <f t="shared" si="30"/>
        <v>82.786228775114211</v>
      </c>
      <c r="DI132" s="6">
        <v>88.136715010054999</v>
      </c>
    </row>
    <row r="133" spans="14:113" x14ac:dyDescent="0.25">
      <c r="Y133" s="15">
        <f>X134/$C$14</f>
        <v>76858.944353920859</v>
      </c>
      <c r="Z133" s="16">
        <f>(AA132*$C$15+AA134*(1-$C$15))*EXP(-$C$9*$C$13)</f>
        <v>0.2419581008062682</v>
      </c>
      <c r="AA133" s="15">
        <f>Z134/$C$14</f>
        <v>76858.944353920859</v>
      </c>
      <c r="AB133" s="16">
        <f>(AC132*$C$15+AC134*(1-$C$15))*EXP(-$C$9*$C$13)</f>
        <v>0.11055443315413878</v>
      </c>
      <c r="AC133" s="15">
        <f>AB134/$C$14</f>
        <v>76858.944353920859</v>
      </c>
      <c r="AD133" s="16">
        <f>(AE132*$C$15+AE134*(1-$C$15))*EXP(-$C$9*$C$13)</f>
        <v>4.1900270027686058E-2</v>
      </c>
      <c r="AE133" s="15">
        <f>AD134/$C$14</f>
        <v>76858.944353920859</v>
      </c>
      <c r="AF133" s="16">
        <f>(AG132*$C$15+AG134*(1-$C$15))*EXP(-$C$9*$C$13)</f>
        <v>1.1817082479602602E-2</v>
      </c>
      <c r="AG133" s="15">
        <f>AF134/$C$14</f>
        <v>76858.944353920859</v>
      </c>
      <c r="AH133" s="16">
        <f>(AI132*$C$15+AI134*(1-$C$15))*EXP(-$C$9*$C$13)</f>
        <v>1.8803995108035323E-3</v>
      </c>
      <c r="AI133" s="15">
        <f>AH134/$C$14</f>
        <v>76858.944353920859</v>
      </c>
      <c r="AJ133" s="16">
        <f>(AK132*$C$15+AK134*(1-$C$15))*EXP(-$C$9*$C$13)</f>
        <v>0</v>
      </c>
      <c r="AK133" s="15">
        <f>AJ134/$C$14</f>
        <v>76858.944353920859</v>
      </c>
      <c r="AL133" s="16">
        <f>(AM132*$C$15+AM134*(1-$C$15))*EXP(-$C$9*$C$13)</f>
        <v>0</v>
      </c>
      <c r="AM133" s="15">
        <f>AL134/$C$14</f>
        <v>76858.944353920859</v>
      </c>
      <c r="AN133" s="16">
        <f>(AO132*$C$15+AO134*(1-$C$15))*EXP(-$C$9*$C$13)</f>
        <v>0</v>
      </c>
      <c r="AO133" s="15">
        <f>AN134/$C$14</f>
        <v>76858.944353920859</v>
      </c>
      <c r="AP133" s="16">
        <f>(AQ132*$C$15+AQ134*(1-$C$15))*EXP(-$C$9*$C$13)</f>
        <v>0</v>
      </c>
      <c r="AQ133" s="15">
        <f>AP134/$C$14</f>
        <v>76858.944353920859</v>
      </c>
      <c r="AR133" s="16">
        <f>(AS132*$C$15+AS134*(1-$C$15))*EXP(-$C$9*$C$13)</f>
        <v>0</v>
      </c>
      <c r="AS133" s="15">
        <f>AR134/$C$14</f>
        <v>76858.944353920859</v>
      </c>
      <c r="AT133" s="16">
        <f>(AU132*$C$15+AU134*(1-$C$15))*EXP(-$C$9*$C$13)</f>
        <v>0</v>
      </c>
      <c r="AU133" s="15">
        <f>AT134/$C$14</f>
        <v>76858.944353920859</v>
      </c>
      <c r="AV133" s="16">
        <f>(AW132*$C$15+AW134*(1-$C$15))*EXP(-$C$9*$C$13)</f>
        <v>0</v>
      </c>
      <c r="AW133" s="15">
        <f>AV134/$C$14</f>
        <v>76858.944353920859</v>
      </c>
      <c r="AX133" s="16">
        <f>(AY132*$C$15+AY134*(1-$C$15))*EXP(-$C$9*$C$13)</f>
        <v>0</v>
      </c>
      <c r="AY133" s="15">
        <f>AX134/$C$14</f>
        <v>76858.944353920859</v>
      </c>
      <c r="AZ133" s="16">
        <f>(BA132*$C$15+BA134*(1-$C$15))*EXP(-$C$9*$C$13)</f>
        <v>0</v>
      </c>
      <c r="BA133" s="15">
        <f>AZ134/$C$14</f>
        <v>76858.944353920859</v>
      </c>
      <c r="BB133" s="16">
        <f>MAX(0,$C$8-BB132)</f>
        <v>0</v>
      </c>
      <c r="BD133" s="23">
        <f t="shared" si="29"/>
        <v>66677.866666666727</v>
      </c>
      <c r="BE133" s="25">
        <v>96.6121731332248</v>
      </c>
      <c r="BF133" s="25">
        <v>90.779451791623174</v>
      </c>
      <c r="BG133" s="25">
        <v>85.123276146228577</v>
      </c>
      <c r="BH133" s="25">
        <v>79.646368460301389</v>
      </c>
      <c r="BI133" s="25">
        <v>74.351328685379471</v>
      </c>
      <c r="BJ133" s="25">
        <v>69.240615640206471</v>
      </c>
      <c r="BK133" s="25">
        <v>64.316526584374955</v>
      </c>
      <c r="BL133" s="25">
        <v>59.581175117668337</v>
      </c>
      <c r="BM133" s="25">
        <v>55.036467347735176</v>
      </c>
      <c r="BN133" s="25">
        <v>50.684076284951111</v>
      </c>
      <c r="BO133" s="25">
        <v>46.525414445128398</v>
      </c>
      <c r="BP133" s="25">
        <v>42.561604669282033</v>
      </c>
      <c r="BQ133" s="25">
        <v>38.793449206304231</v>
      </c>
      <c r="BR133" s="25">
        <v>35.221397150635184</v>
      </c>
      <c r="BS133" s="25">
        <v>31.845510384534141</v>
      </c>
      <c r="BT133" s="25">
        <v>28.665428245164478</v>
      </c>
      <c r="BU133" s="25">
        <v>25.680331222317886</v>
      </c>
      <c r="BV133" s="25">
        <v>22.888904095139821</v>
      </c>
      <c r="BW133" s="25">
        <v>20.28929903746965</v>
      </c>
      <c r="BX133" s="25">
        <v>17.879099362854785</v>
      </c>
      <c r="BY133" s="25">
        <v>15.655284742808369</v>
      </c>
      <c r="BZ133" s="25">
        <v>13.614198915333919</v>
      </c>
      <c r="CA133" s="25">
        <v>11.751521103491712</v>
      </c>
      <c r="CB133" s="25">
        <v>10.062242581971594</v>
      </c>
      <c r="CC133" s="25">
        <v>8.5406500563154815</v>
      </c>
      <c r="CD133" s="25">
        <v>7.1803177435034122</v>
      </c>
      <c r="CE133" s="25">
        <v>5.974110247596637</v>
      </c>
      <c r="CF133" s="25">
        <v>4.9141984868365949</v>
      </c>
      <c r="CG133" s="25">
        <v>3.992091017866688</v>
      </c>
      <c r="CH133" s="25">
        <v>3.1986830784805327</v>
      </c>
      <c r="CI133" s="25">
        <v>2.5243254833991298</v>
      </c>
      <c r="CJ133" s="25">
        <v>1.9589151006687484</v>
      </c>
      <c r="CK133" s="25">
        <v>1.4920079484789619</v>
      </c>
      <c r="CL133" s="25">
        <v>1.1129549237176637</v>
      </c>
      <c r="CM133" s="25">
        <v>0.81105876023573298</v>
      </c>
      <c r="CN133" s="25">
        <v>0.57574900230298398</v>
      </c>
      <c r="CO133" s="25">
        <v>0.39676960775590497</v>
      </c>
      <c r="CP133" s="25">
        <v>0.26437138819372452</v>
      </c>
      <c r="CQ133" s="25">
        <v>0.16949908254564786</v>
      </c>
      <c r="CR133" s="25">
        <v>0.10396080727899469</v>
      </c>
      <c r="CS133" s="25">
        <v>6.0566420403193919E-2</v>
      </c>
      <c r="CT133" s="25">
        <v>3.3221549823206742E-2</v>
      </c>
      <c r="CU133" s="25">
        <v>1.6966221674099127E-2</v>
      </c>
      <c r="CV133" s="25">
        <v>7.9515371450633587E-3</v>
      </c>
      <c r="CW133" s="25">
        <v>3.354613189811919E-3</v>
      </c>
      <c r="CX133" s="25">
        <v>1.2402851468933695E-3</v>
      </c>
      <c r="CY133" s="25">
        <v>3.8634427059939841E-4</v>
      </c>
      <c r="CZ133" s="25">
        <v>9.5193361126468987E-5</v>
      </c>
      <c r="DA133" s="25">
        <v>1.6516595210170951E-5</v>
      </c>
      <c r="DB133" s="25">
        <v>1.5158442420983705E-6</v>
      </c>
      <c r="DC133" s="44">
        <f t="shared" si="26"/>
        <v>0</v>
      </c>
      <c r="DD133" s="5">
        <f t="shared" si="31"/>
        <v>59</v>
      </c>
      <c r="DE133" s="30" cm="1">
        <f t="array" ref="DE133">1/2*(rf-q)*DD133*dt-1/2*(sigma^2)*(DD133^2)*dt</f>
        <v>-2.6358181705479446</v>
      </c>
      <c r="DF133" s="25">
        <f t="shared" si="27"/>
        <v>6.2876144232876703</v>
      </c>
      <c r="DG133" s="6">
        <f t="shared" si="28"/>
        <v>-2.6515299513698625</v>
      </c>
      <c r="DH133" s="5">
        <f t="shared" si="30"/>
        <v>96.61217313322507</v>
      </c>
      <c r="DI133" s="6">
        <v>102.61861288879042</v>
      </c>
    </row>
    <row r="134" spans="14:113" x14ac:dyDescent="0.25">
      <c r="X134" s="15">
        <f>W135/$C$14</f>
        <v>73921.119492178477</v>
      </c>
      <c r="Y134" s="16">
        <f>(Z133*$C$15+Z135*(1-$C$15))*EXP(-$C$9*$C$13)</f>
        <v>0.77699389851654876</v>
      </c>
      <c r="Z134" s="15">
        <f>Y135/$C$14</f>
        <v>73921.119492178477</v>
      </c>
      <c r="AA134" s="16">
        <f>(AB133*$C$15+AB135*(1-$C$15))*EXP(-$C$9*$C$13)</f>
        <v>0.41468445533589027</v>
      </c>
      <c r="AB134" s="15">
        <f>AA135/$C$14</f>
        <v>73921.119492178477</v>
      </c>
      <c r="AC134" s="16">
        <f>(AD133*$C$15+AD135*(1-$C$15))*EXP(-$C$9*$C$13)</f>
        <v>0.19484273056483012</v>
      </c>
      <c r="AD134" s="15">
        <f>AC135/$C$14</f>
        <v>73921.119492178477</v>
      </c>
      <c r="AE134" s="16">
        <f>(AF133*$C$15+AF135*(1-$C$15))*EXP(-$C$9*$C$13)</f>
        <v>7.6198779556819127E-2</v>
      </c>
      <c r="AF134" s="15">
        <f>AE135/$C$14</f>
        <v>73921.119492178477</v>
      </c>
      <c r="AG134" s="16">
        <f>(AH133*$C$15+AH135*(1-$C$15))*EXP(-$C$9*$C$13)</f>
        <v>2.2267012701803694E-2</v>
      </c>
      <c r="AH134" s="15">
        <f>AG135/$C$14</f>
        <v>73921.119492178477</v>
      </c>
      <c r="AI134" s="16">
        <f>(AJ133*$C$15+AJ135*(1-$C$15))*EXP(-$C$9*$C$13)</f>
        <v>3.6899058957610277E-3</v>
      </c>
      <c r="AJ134" s="15">
        <f>AI135/$C$14</f>
        <v>73921.119492178477</v>
      </c>
      <c r="AK134" s="16">
        <f>(AL133*$C$15+AL135*(1-$C$15))*EXP(-$C$9*$C$13)</f>
        <v>0</v>
      </c>
      <c r="AL134" s="15">
        <f>AK135/$C$14</f>
        <v>73921.119492178477</v>
      </c>
      <c r="AM134" s="16">
        <f>(AN133*$C$15+AN135*(1-$C$15))*EXP(-$C$9*$C$13)</f>
        <v>0</v>
      </c>
      <c r="AN134" s="15">
        <f>AM135/$C$14</f>
        <v>73921.119492178477</v>
      </c>
      <c r="AO134" s="16">
        <f>(AP133*$C$15+AP135*(1-$C$15))*EXP(-$C$9*$C$13)</f>
        <v>0</v>
      </c>
      <c r="AP134" s="15">
        <f>AO135/$C$14</f>
        <v>73921.119492178477</v>
      </c>
      <c r="AQ134" s="16">
        <f>(AR133*$C$15+AR135*(1-$C$15))*EXP(-$C$9*$C$13)</f>
        <v>0</v>
      </c>
      <c r="AR134" s="15">
        <f>AQ135/$C$14</f>
        <v>73921.119492178477</v>
      </c>
      <c r="AS134" s="16">
        <f>(AT133*$C$15+AT135*(1-$C$15))*EXP(-$C$9*$C$13)</f>
        <v>0</v>
      </c>
      <c r="AT134" s="15">
        <f>AS135/$C$14</f>
        <v>73921.119492178477</v>
      </c>
      <c r="AU134" s="16">
        <f>(AV133*$C$15+AV135*(1-$C$15))*EXP(-$C$9*$C$13)</f>
        <v>0</v>
      </c>
      <c r="AV134" s="15">
        <f>AU135/$C$14</f>
        <v>73921.119492178477</v>
      </c>
      <c r="AW134" s="16">
        <f>(AX133*$C$15+AX135*(1-$C$15))*EXP(-$C$9*$C$13)</f>
        <v>0</v>
      </c>
      <c r="AX134" s="15">
        <f>AW135/$C$14</f>
        <v>73921.119492178477</v>
      </c>
      <c r="AY134" s="16">
        <f>(AZ133*$C$15+AZ135*(1-$C$15))*EXP(-$C$9*$C$13)</f>
        <v>0</v>
      </c>
      <c r="AZ134" s="15">
        <f>AY135/$C$14</f>
        <v>73921.119492178477</v>
      </c>
      <c r="BA134" s="16">
        <f>(BB133*$C$15+BB135*(1-$C$15))*EXP(-$C$9*$C$13)</f>
        <v>0</v>
      </c>
      <c r="BB134" s="15">
        <f>BA135/$C$14</f>
        <v>73921.119492178477</v>
      </c>
      <c r="BD134" s="23">
        <f t="shared" si="29"/>
        <v>65547.733333333395</v>
      </c>
      <c r="BE134" s="25">
        <v>112.74316249443737</v>
      </c>
      <c r="BF134" s="25">
        <v>106.19011190444212</v>
      </c>
      <c r="BG134" s="25">
        <v>99.820330317069661</v>
      </c>
      <c r="BH134" s="25">
        <v>93.637246774951279</v>
      </c>
      <c r="BI134" s="25">
        <v>87.644199602344074</v>
      </c>
      <c r="BJ134" s="25">
        <v>81.844417473745395</v>
      </c>
      <c r="BK134" s="25">
        <v>76.240998598911318</v>
      </c>
      <c r="BL134" s="25">
        <v>70.836887903861637</v>
      </c>
      <c r="BM134" s="25">
        <v>65.634852092383724</v>
      </c>
      <c r="BN134" s="25">
        <v>60.637452481556764</v>
      </c>
      <c r="BO134" s="25">
        <v>55.847015519006071</v>
      </c>
      <c r="BP134" s="25">
        <v>51.26560091026716</v>
      </c>
      <c r="BQ134" s="25">
        <v>46.894967313359565</v>
      </c>
      <c r="BR134" s="25">
        <v>42.736535596257291</v>
      </c>
      <c r="BS134" s="25">
        <v>38.791349703525718</v>
      </c>
      <c r="BT134" s="25">
        <v>35.060035243393287</v>
      </c>
      <c r="BU134" s="25">
        <v>31.542755988656989</v>
      </c>
      <c r="BV134" s="25">
        <v>28.239168587061627</v>
      </c>
      <c r="BW134" s="25">
        <v>25.148375902286727</v>
      </c>
      <c r="BX134" s="25">
        <v>22.268879558609751</v>
      </c>
      <c r="BY134" s="25">
        <v>19.598532443653855</v>
      </c>
      <c r="BZ134" s="25">
        <v>17.134492136789902</v>
      </c>
      <c r="CA134" s="25">
        <v>14.873176477056198</v>
      </c>
      <c r="CB134" s="25">
        <v>12.810222763380617</v>
      </c>
      <c r="CC134" s="25">
        <v>10.940452388093036</v>
      </c>
      <c r="CD134" s="25">
        <v>9.2578430347133001</v>
      </c>
      <c r="CE134" s="25">
        <v>7.7555109094817896</v>
      </c>
      <c r="CF134" s="25">
        <v>6.4257058019365205</v>
      </c>
      <c r="CG134" s="25">
        <v>5.2598220517895422</v>
      </c>
      <c r="CH134" s="25">
        <v>4.2484286936853266</v>
      </c>
      <c r="CI134" s="25">
        <v>3.3813221001641081</v>
      </c>
      <c r="CJ134" s="25">
        <v>2.6476042719175865</v>
      </c>
      <c r="CK134" s="25">
        <v>2.0357894464353969</v>
      </c>
      <c r="CL134" s="25">
        <v>1.5339408115829771</v>
      </c>
      <c r="CM134" s="25">
        <v>1.1298377235715145</v>
      </c>
      <c r="CN134" s="25">
        <v>0.81117185908994482</v>
      </c>
      <c r="CO134" s="25">
        <v>0.56576814691472022</v>
      </c>
      <c r="CP134" s="25">
        <v>0.38182317792107362</v>
      </c>
      <c r="CQ134" s="25">
        <v>0.24815027006360407</v>
      </c>
      <c r="CR134" s="25">
        <v>0.15441683435263065</v>
      </c>
      <c r="CS134" s="25">
        <v>9.1356732722833081E-2</v>
      </c>
      <c r="CT134" s="25">
        <v>5.0938731362910515E-2</v>
      </c>
      <c r="CU134" s="25">
        <v>2.6472851330335386E-2</v>
      </c>
      <c r="CV134" s="25">
        <v>1.2640249733028698E-2</v>
      </c>
      <c r="CW134" s="25">
        <v>5.439683366239719E-3</v>
      </c>
      <c r="CX134" s="25">
        <v>2.0542590388111935E-3</v>
      </c>
      <c r="CY134" s="25">
        <v>6.5452642716486002E-4</v>
      </c>
      <c r="CZ134" s="25">
        <v>1.6521073589572893E-4</v>
      </c>
      <c r="DA134" s="25">
        <v>2.941284782714979E-5</v>
      </c>
      <c r="DB134" s="25">
        <v>2.7746707938381977E-6</v>
      </c>
      <c r="DC134" s="44">
        <f t="shared" si="26"/>
        <v>0</v>
      </c>
      <c r="DD134" s="5">
        <f t="shared" si="31"/>
        <v>58</v>
      </c>
      <c r="DE134" s="30" cm="1">
        <f t="array" ref="DE134">1/2*(rf-q)*DD134*dt-1/2*(sigma^2)*(DD134^2)*dt</f>
        <v>-2.5470947095890408</v>
      </c>
      <c r="DF134" s="25">
        <f t="shared" si="27"/>
        <v>6.1099011999999995</v>
      </c>
      <c r="DG134" s="6">
        <f t="shared" si="28"/>
        <v>-2.5625401890410955</v>
      </c>
      <c r="DH134" s="5">
        <f t="shared" si="30"/>
        <v>112.74316249439659</v>
      </c>
      <c r="DI134" s="6">
        <v>119.47597949601011</v>
      </c>
    </row>
    <row r="135" spans="14:113" x14ac:dyDescent="0.25">
      <c r="W135" s="15">
        <f>V136/$C$14</f>
        <v>71095.588846689294</v>
      </c>
      <c r="X135" s="16">
        <f>(Y134*$C$15+Y136*(1-$C$15))*EXP(-$C$9*$C$13)</f>
        <v>2.1538691199599653</v>
      </c>
      <c r="Y135" s="15">
        <f>X136/$C$14</f>
        <v>71095.588846689294</v>
      </c>
      <c r="Z135" s="16">
        <f>(AA134*$C$15+AA136*(1-$C$15))*EXP(-$C$9*$C$13)</f>
        <v>1.2919846807843207</v>
      </c>
      <c r="AA135" s="15">
        <f>Z136/$C$14</f>
        <v>71095.588846689294</v>
      </c>
      <c r="AB135" s="16">
        <f>(AC134*$C$15+AC136*(1-$C$15))*EXP(-$C$9*$C$13)</f>
        <v>0.70740620576165869</v>
      </c>
      <c r="AC135" s="15">
        <f>AB136/$C$14</f>
        <v>71095.588846689294</v>
      </c>
      <c r="AD135" s="16">
        <f>(AE134*$C$15+AE136*(1-$C$15))*EXP(-$C$9*$C$13)</f>
        <v>0.34204098505148967</v>
      </c>
      <c r="AE135" s="15">
        <f>AD136/$C$14</f>
        <v>71095.588846689294</v>
      </c>
      <c r="AF135" s="16">
        <f>(AG134*$C$15+AG136*(1-$C$15))*EXP(-$C$9*$C$13)</f>
        <v>0.13815939032303798</v>
      </c>
      <c r="AG135" s="15">
        <f>AF136/$C$14</f>
        <v>71095.588846689294</v>
      </c>
      <c r="AH135" s="16">
        <f>(AI134*$C$15+AI136*(1-$C$15))*EXP(-$C$9*$C$13)</f>
        <v>4.1886010691398093E-2</v>
      </c>
      <c r="AI135" s="15">
        <f>AH136/$C$14</f>
        <v>71095.588846689294</v>
      </c>
      <c r="AJ135" s="16">
        <f>(AK134*$C$15+AK136*(1-$C$15))*EXP(-$C$9*$C$13)</f>
        <v>7.2406982885003281E-3</v>
      </c>
      <c r="AK135" s="15">
        <f>AJ136/$C$14</f>
        <v>71095.588846689294</v>
      </c>
      <c r="AL135" s="16">
        <f>(AM134*$C$15+AM136*(1-$C$15))*EXP(-$C$9*$C$13)</f>
        <v>0</v>
      </c>
      <c r="AM135" s="15">
        <f>AL136/$C$14</f>
        <v>71095.588846689294</v>
      </c>
      <c r="AN135" s="16">
        <f>(AO134*$C$15+AO136*(1-$C$15))*EXP(-$C$9*$C$13)</f>
        <v>0</v>
      </c>
      <c r="AO135" s="15">
        <f>AN136/$C$14</f>
        <v>71095.588846689294</v>
      </c>
      <c r="AP135" s="16">
        <f>(AQ134*$C$15+AQ136*(1-$C$15))*EXP(-$C$9*$C$13)</f>
        <v>0</v>
      </c>
      <c r="AQ135" s="15">
        <f>AP136/$C$14</f>
        <v>71095.588846689294</v>
      </c>
      <c r="AR135" s="16">
        <f>(AS134*$C$15+AS136*(1-$C$15))*EXP(-$C$9*$C$13)</f>
        <v>0</v>
      </c>
      <c r="AS135" s="15">
        <f>AR136/$C$14</f>
        <v>71095.588846689294</v>
      </c>
      <c r="AT135" s="16">
        <f>(AU134*$C$15+AU136*(1-$C$15))*EXP(-$C$9*$C$13)</f>
        <v>0</v>
      </c>
      <c r="AU135" s="15">
        <f>AT136/$C$14</f>
        <v>71095.588846689294</v>
      </c>
      <c r="AV135" s="16">
        <f>(AW134*$C$15+AW136*(1-$C$15))*EXP(-$C$9*$C$13)</f>
        <v>0</v>
      </c>
      <c r="AW135" s="15">
        <f>AV136/$C$14</f>
        <v>71095.588846689294</v>
      </c>
      <c r="AX135" s="16">
        <f>(AY134*$C$15+AY136*(1-$C$15))*EXP(-$C$9*$C$13)</f>
        <v>0</v>
      </c>
      <c r="AY135" s="15">
        <f>AX136/$C$14</f>
        <v>71095.588846689294</v>
      </c>
      <c r="AZ135" s="16">
        <f>(BA134*$C$15+BA136*(1-$C$15))*EXP(-$C$9*$C$13)</f>
        <v>0</v>
      </c>
      <c r="BA135" s="15">
        <f>AZ136/$C$14</f>
        <v>71095.588846689294</v>
      </c>
      <c r="BB135" s="16">
        <f>MAX(0,$C$8-BB134)</f>
        <v>0</v>
      </c>
      <c r="BD135" s="23">
        <f t="shared" si="29"/>
        <v>64417.600000000064</v>
      </c>
      <c r="BE135" s="25">
        <v>131.55651191381725</v>
      </c>
      <c r="BF135" s="25">
        <v>124.2061267254356</v>
      </c>
      <c r="BG135" s="25">
        <v>117.04444752048362</v>
      </c>
      <c r="BH135" s="25">
        <v>110.07565038176654</v>
      </c>
      <c r="BI135" s="25">
        <v>103.30385988170096</v>
      </c>
      <c r="BJ135" s="25">
        <v>96.733130777474827</v>
      </c>
      <c r="BK135" s="25">
        <v>90.3674275896919</v>
      </c>
      <c r="BL135" s="25">
        <v>84.210601890423504</v>
      </c>
      <c r="BM135" s="25">
        <v>78.266367123155334</v>
      </c>
      <c r="BN135" s="25">
        <v>72.538270776841259</v>
      </c>
      <c r="BO135" s="25">
        <v>67.029663740253881</v>
      </c>
      <c r="BP135" s="25">
        <v>61.743666672411891</v>
      </c>
      <c r="BQ135" s="25">
        <v>56.68313324173787</v>
      </c>
      <c r="BR135" s="25">
        <v>51.850610112789589</v>
      </c>
      <c r="BS135" s="25">
        <v>47.248293597359876</v>
      </c>
      <c r="BT135" s="25">
        <v>42.877982939373439</v>
      </c>
      <c r="BU135" s="25">
        <v>38.741030273753204</v>
      </c>
      <c r="BV135" s="25">
        <v>34.838287392249555</v>
      </c>
      <c r="BW135" s="25">
        <v>31.170049568626006</v>
      </c>
      <c r="BX135" s="25">
        <v>27.735996846546985</v>
      </c>
      <c r="BY135" s="25">
        <v>24.535133381328237</v>
      </c>
      <c r="BZ135" s="25">
        <v>21.565725656769171</v>
      </c>
      <c r="CA135" s="25">
        <v>18.82524067560583</v>
      </c>
      <c r="CB135" s="25">
        <v>16.310285550675417</v>
      </c>
      <c r="CC135" s="25">
        <v>14.016550305581781</v>
      </c>
      <c r="CD135" s="25">
        <v>11.938756126920767</v>
      </c>
      <c r="CE135" s="25">
        <v>10.070611787918436</v>
      </c>
      <c r="CF135" s="25">
        <v>8.4047814705567294</v>
      </c>
      <c r="CG135" s="25">
        <v>6.9328677234722118</v>
      </c>
      <c r="CH135" s="25">
        <v>5.6454137644756894</v>
      </c>
      <c r="CI135" s="25">
        <v>4.5319297082339967</v>
      </c>
      <c r="CJ135" s="25">
        <v>3.5809474869542424</v>
      </c>
      <c r="CK135" s="25">
        <v>2.7801091232205928</v>
      </c>
      <c r="CL135" s="25">
        <v>2.1162924727450969</v>
      </c>
      <c r="CM135" s="25">
        <v>1.5757774220638043</v>
      </c>
      <c r="CN135" s="25">
        <v>1.1444536397531002</v>
      </c>
      <c r="CO135" s="25">
        <v>0.80806819960930132</v>
      </c>
      <c r="CP135" s="25">
        <v>0.55250765139152436</v>
      </c>
      <c r="CQ135" s="25">
        <v>0.36410447715616978</v>
      </c>
      <c r="CR135" s="25">
        <v>0.22995262794414489</v>
      </c>
      <c r="CS135" s="25">
        <v>0.13821158351720431</v>
      </c>
      <c r="CT135" s="25">
        <v>7.8374081370598231E-2</v>
      </c>
      <c r="CU135" s="25">
        <v>4.1470633630417225E-2</v>
      </c>
      <c r="CV135" s="25">
        <v>2.0185688421900397E-2</v>
      </c>
      <c r="CW135" s="25">
        <v>8.8670977672879805E-3</v>
      </c>
      <c r="CX135" s="25">
        <v>3.4229244846894547E-3</v>
      </c>
      <c r="CY135" s="25">
        <v>1.1165106573617926E-3</v>
      </c>
      <c r="CZ135" s="25">
        <v>2.8898479951689615E-4</v>
      </c>
      <c r="DA135" s="25">
        <v>5.2848653760189193E-5</v>
      </c>
      <c r="DB135" s="25">
        <v>5.1307847236265891E-6</v>
      </c>
      <c r="DC135" s="44">
        <f t="shared" si="26"/>
        <v>0</v>
      </c>
      <c r="DD135" s="5">
        <f t="shared" si="31"/>
        <v>57</v>
      </c>
      <c r="DE135" s="30" cm="1">
        <f t="array" ref="DE135">1/2*(rf-q)*DD135*dt-1/2*(sigma^2)*(DD135^2)*dt</f>
        <v>-2.4598901650684928</v>
      </c>
      <c r="DF135" s="25">
        <f t="shared" si="27"/>
        <v>5.9352258095890402</v>
      </c>
      <c r="DG135" s="6">
        <f t="shared" si="28"/>
        <v>-2.4750693431506843</v>
      </c>
      <c r="DH135" s="5">
        <f t="shared" si="30"/>
        <v>131.55651191383879</v>
      </c>
      <c r="DI135" s="6">
        <v>139.091391849122</v>
      </c>
    </row>
    <row r="136" spans="14:113" x14ac:dyDescent="0.25">
      <c r="V136" s="15">
        <f>U137/$C$14</f>
        <v>68378.060129247795</v>
      </c>
      <c r="W136" s="16">
        <f>(X135*$C$15+X137*(1-$C$15))*EXP(-$C$9*$C$13)</f>
        <v>5.2966259706434293</v>
      </c>
      <c r="X136" s="15">
        <f>W137/$C$14</f>
        <v>68378.060129247795</v>
      </c>
      <c r="Y136" s="16">
        <f>(Z135*$C$15+Z137*(1-$C$15))*EXP(-$C$9*$C$13)</f>
        <v>3.4792406081471596</v>
      </c>
      <c r="Z136" s="15">
        <f>Y137/$C$14</f>
        <v>68378.060129247795</v>
      </c>
      <c r="AA136" s="16">
        <f>(AB135*$C$15+AB137*(1-$C$15))*EXP(-$C$9*$C$13)</f>
        <v>2.1364263944942454</v>
      </c>
      <c r="AB136" s="15">
        <f>AA137/$C$14</f>
        <v>68378.060129247795</v>
      </c>
      <c r="AC136" s="16">
        <f>(AD135*$C$15+AD137*(1-$C$15))*EXP(-$C$9*$C$13)</f>
        <v>1.2007472792788281</v>
      </c>
      <c r="AD136" s="15">
        <f>AC137/$C$14</f>
        <v>68378.060129247795</v>
      </c>
      <c r="AE136" s="16">
        <f>(AF135*$C$15+AF137*(1-$C$15))*EXP(-$C$9*$C$13)</f>
        <v>0.5979004609121189</v>
      </c>
      <c r="AF136" s="15">
        <f>AE137/$C$14</f>
        <v>68378.060129247795</v>
      </c>
      <c r="AG136" s="16">
        <f>(AH135*$C$15+AH137*(1-$C$15))*EXP(-$C$9*$C$13)</f>
        <v>0.24969413244737426</v>
      </c>
      <c r="AH136" s="15">
        <f>AG137/$C$14</f>
        <v>68378.060129247795</v>
      </c>
      <c r="AI136" s="16">
        <f>(AJ135*$C$15+AJ137*(1-$C$15))*EXP(-$C$9*$C$13)</f>
        <v>7.8644008355990502E-2</v>
      </c>
      <c r="AJ136" s="15">
        <f>AI137/$C$14</f>
        <v>68378.060129247795</v>
      </c>
      <c r="AK136" s="16">
        <f>(AL135*$C$15+AL137*(1-$C$15))*EXP(-$C$9*$C$13)</f>
        <v>1.4208414302738901E-2</v>
      </c>
      <c r="AL136" s="15">
        <f>AK137/$C$14</f>
        <v>68378.060129247795</v>
      </c>
      <c r="AM136" s="16">
        <f>(AN135*$C$15+AN137*(1-$C$15))*EXP(-$C$9*$C$13)</f>
        <v>0</v>
      </c>
      <c r="AN136" s="15">
        <f>AM137/$C$14</f>
        <v>68378.060129247795</v>
      </c>
      <c r="AO136" s="16">
        <f>(AP135*$C$15+AP137*(1-$C$15))*EXP(-$C$9*$C$13)</f>
        <v>0</v>
      </c>
      <c r="AP136" s="15">
        <f>AO137/$C$14</f>
        <v>68378.060129247795</v>
      </c>
      <c r="AQ136" s="16">
        <f>(AR135*$C$15+AR137*(1-$C$15))*EXP(-$C$9*$C$13)</f>
        <v>0</v>
      </c>
      <c r="AR136" s="15">
        <f>AQ137/$C$14</f>
        <v>68378.060129247795</v>
      </c>
      <c r="AS136" s="16">
        <f>(AT135*$C$15+AT137*(1-$C$15))*EXP(-$C$9*$C$13)</f>
        <v>0</v>
      </c>
      <c r="AT136" s="15">
        <f>AS137/$C$14</f>
        <v>68378.060129247795</v>
      </c>
      <c r="AU136" s="16">
        <f>(AV135*$C$15+AV137*(1-$C$15))*EXP(-$C$9*$C$13)</f>
        <v>0</v>
      </c>
      <c r="AV136" s="15">
        <f>AU137/$C$14</f>
        <v>68378.060129247795</v>
      </c>
      <c r="AW136" s="16">
        <f>(AX135*$C$15+AX137*(1-$C$15))*EXP(-$C$9*$C$13)</f>
        <v>0</v>
      </c>
      <c r="AX136" s="15">
        <f>AW137/$C$14</f>
        <v>68378.060129247795</v>
      </c>
      <c r="AY136" s="16">
        <f>(AZ135*$C$15+AZ137*(1-$C$15))*EXP(-$C$9*$C$13)</f>
        <v>0</v>
      </c>
      <c r="AZ136" s="15">
        <f>AY137/$C$14</f>
        <v>68378.060129247795</v>
      </c>
      <c r="BA136" s="16">
        <f>(BB135*$C$15+BB137*(1-$C$15))*EXP(-$C$9*$C$13)</f>
        <v>0</v>
      </c>
      <c r="BB136" s="15">
        <f>BA137/$C$14</f>
        <v>68378.060129247795</v>
      </c>
      <c r="BD136" s="23">
        <f t="shared" si="29"/>
        <v>63287.466666666733</v>
      </c>
      <c r="BE136" s="25">
        <v>153.48828920359043</v>
      </c>
      <c r="BF136" s="25">
        <v>145.25814041742498</v>
      </c>
      <c r="BG136" s="25">
        <v>137.22049090371621</v>
      </c>
      <c r="BH136" s="25">
        <v>129.38028978739342</v>
      </c>
      <c r="BI136" s="25">
        <v>121.74248156867007</v>
      </c>
      <c r="BJ136" s="25">
        <v>114.3119893070445</v>
      </c>
      <c r="BK136" s="25">
        <v>107.09369552496585</v>
      </c>
      <c r="BL136" s="25">
        <v>100.09242060447333</v>
      </c>
      <c r="BM136" s="25">
        <v>93.31289843698373</v>
      </c>
      <c r="BN136" s="25">
        <v>86.759749075053108</v>
      </c>
      <c r="BO136" s="25">
        <v>80.437448126361403</v>
      </c>
      <c r="BP136" s="25">
        <v>74.350292625650525</v>
      </c>
      <c r="BQ136" s="25">
        <v>68.50236312151938</v>
      </c>
      <c r="BR136" s="25">
        <v>62.897481723909927</v>
      </c>
      <c r="BS136" s="25">
        <v>57.539165877400414</v>
      </c>
      <c r="BT136" s="25">
        <v>52.430577658257562</v>
      </c>
      <c r="BU136" s="25">
        <v>47.5744684435181</v>
      </c>
      <c r="BV136" s="25">
        <v>42.973118872918832</v>
      </c>
      <c r="BW136" s="25">
        <v>38.628274124948597</v>
      </c>
      <c r="BX136" s="25">
        <v>34.541074663290971</v>
      </c>
      <c r="BY136" s="25">
        <v>30.711982787102539</v>
      </c>
      <c r="BZ136" s="25">
        <v>27.140705546445101</v>
      </c>
      <c r="CA136" s="25">
        <v>23.826114871929825</v>
      </c>
      <c r="CB136" s="25">
        <v>20.766166124549567</v>
      </c>
      <c r="CC136" s="25">
        <v>17.957816706401978</v>
      </c>
      <c r="CD136" s="25">
        <v>15.396946892128687</v>
      </c>
      <c r="CE136" s="25">
        <v>13.078285646953608</v>
      </c>
      <c r="CF136" s="25">
        <v>10.99534488576581</v>
      </c>
      <c r="CG136" s="25">
        <v>9.140366383352367</v>
      </c>
      <c r="CH136" s="25">
        <v>7.5042863369667216</v>
      </c>
      <c r="CI136" s="25">
        <v>6.0767233543239989</v>
      </c>
      <c r="CJ136" s="25">
        <v>4.8459963079536577</v>
      </c>
      <c r="CK136" s="25">
        <v>3.7991789363504913</v>
      </c>
      <c r="CL136" s="25">
        <v>2.9221981159606871</v>
      </c>
      <c r="CM136" s="25">
        <v>2.1999821578733503</v>
      </c>
      <c r="CN136" s="25">
        <v>1.6166640433471384</v>
      </c>
      <c r="CO136" s="25">
        <v>1.15584192637191</v>
      </c>
      <c r="CP136" s="25">
        <v>0.80089525181083554</v>
      </c>
      <c r="CQ136" s="25">
        <v>0.53534932372580957</v>
      </c>
      <c r="CR136" s="25">
        <v>0.34327419493614264</v>
      </c>
      <c r="CS136" s="25">
        <v>0.2096957966478542</v>
      </c>
      <c r="CT136" s="25">
        <v>0.12098928185991942</v>
      </c>
      <c r="CU136" s="25">
        <v>6.5218254922140395E-2</v>
      </c>
      <c r="CV136" s="25">
        <v>3.2381131338242178E-2</v>
      </c>
      <c r="CW136" s="25">
        <v>1.4529798927283731E-2</v>
      </c>
      <c r="CX136" s="25">
        <v>5.7380145248020495E-3</v>
      </c>
      <c r="CY136" s="25">
        <v>1.9178741480208373E-3</v>
      </c>
      <c r="CZ136" s="25">
        <v>5.0954849736588737E-4</v>
      </c>
      <c r="DA136" s="25">
        <v>9.5833160526844383E-5</v>
      </c>
      <c r="DB136" s="25">
        <v>9.5877619082912711E-6</v>
      </c>
      <c r="DC136" s="44">
        <f t="shared" si="26"/>
        <v>0</v>
      </c>
      <c r="DD136" s="5">
        <f t="shared" si="31"/>
        <v>56</v>
      </c>
      <c r="DE136" s="30" cm="1">
        <f t="array" ref="DE136">1/2*(rf-q)*DD136*dt-1/2*(sigma^2)*(DD136^2)*dt</f>
        <v>-2.374204536986301</v>
      </c>
      <c r="DF136" s="25">
        <f t="shared" si="27"/>
        <v>5.7635882520547934</v>
      </c>
      <c r="DG136" s="6">
        <f t="shared" si="28"/>
        <v>-2.3891174136986293</v>
      </c>
      <c r="DH136" s="5">
        <f t="shared" si="30"/>
        <v>153.48828920355896</v>
      </c>
      <c r="DI136" s="6">
        <v>161.90599826076749</v>
      </c>
    </row>
    <row r="137" spans="14:113" x14ac:dyDescent="0.25">
      <c r="U137" s="15">
        <f>T138/$C$14</f>
        <v>65764.405118317736</v>
      </c>
      <c r="V137" s="16">
        <f>(W136*$C$15+W138*(1-$C$15))*EXP(-$C$9*$C$13)</f>
        <v>11.785853218460838</v>
      </c>
      <c r="W137" s="15">
        <f>V138/$C$14</f>
        <v>65764.405118317736</v>
      </c>
      <c r="X137" s="16">
        <f>(Y136*$C$15+Y138*(1-$C$15))*EXP(-$C$9*$C$13)</f>
        <v>8.3220228201715525</v>
      </c>
      <c r="Y137" s="15">
        <f>X138/$C$14</f>
        <v>65764.405118317736</v>
      </c>
      <c r="Z137" s="16">
        <f>(AA136*$C$15+AA138*(1-$C$15))*EXP(-$C$9*$C$13)</f>
        <v>5.5847096392502742</v>
      </c>
      <c r="AA137" s="15">
        <f>Z138/$C$14</f>
        <v>65764.405118317736</v>
      </c>
      <c r="AB137" s="16">
        <f>(AC136*$C$15+AC138*(1-$C$15))*EXP(-$C$9*$C$13)</f>
        <v>3.5119405683553628</v>
      </c>
      <c r="AC137" s="15">
        <f>AB138/$C$14</f>
        <v>65764.405118317736</v>
      </c>
      <c r="AD137" s="16">
        <f>(AE136*$C$15+AE138*(1-$C$15))*EXP(-$C$9*$C$13)</f>
        <v>2.0272581176595708</v>
      </c>
      <c r="AE137" s="15">
        <f>AD138/$C$14</f>
        <v>65764.405118317736</v>
      </c>
      <c r="AF137" s="16">
        <f>(AG136*$C$15+AG138*(1-$C$15))*EXP(-$C$9*$C$13)</f>
        <v>1.0403809757971041</v>
      </c>
      <c r="AG137" s="15">
        <f>AF138/$C$14</f>
        <v>65764.405118317736</v>
      </c>
      <c r="AH137" s="16">
        <f>(AI136*$C$15+AI138*(1-$C$15))*EXP(-$C$9*$C$13)</f>
        <v>0.44968954504338898</v>
      </c>
      <c r="AI137" s="15">
        <f>AH138/$C$14</f>
        <v>65764.405118317736</v>
      </c>
      <c r="AJ137" s="16">
        <f>(AK136*$C$15+AK138*(1-$C$15))*EXP(-$C$9*$C$13)</f>
        <v>0.14735911846434019</v>
      </c>
      <c r="AK137" s="15">
        <f>AJ138/$C$14</f>
        <v>65764.405118317736</v>
      </c>
      <c r="AL137" s="16">
        <f>(AM136*$C$15+AM138*(1-$C$15))*EXP(-$C$9*$C$13)</f>
        <v>2.788115578837189E-2</v>
      </c>
      <c r="AM137" s="15">
        <f>AL138/$C$14</f>
        <v>65764.405118317736</v>
      </c>
      <c r="AN137" s="16">
        <f>(AO136*$C$15+AO138*(1-$C$15))*EXP(-$C$9*$C$13)</f>
        <v>0</v>
      </c>
      <c r="AO137" s="15">
        <f>AN138/$C$14</f>
        <v>65764.405118317736</v>
      </c>
      <c r="AP137" s="16">
        <f>(AQ136*$C$15+AQ138*(1-$C$15))*EXP(-$C$9*$C$13)</f>
        <v>0</v>
      </c>
      <c r="AQ137" s="15">
        <f>AP138/$C$14</f>
        <v>65764.405118317736</v>
      </c>
      <c r="AR137" s="16">
        <f>(AS136*$C$15+AS138*(1-$C$15))*EXP(-$C$9*$C$13)</f>
        <v>0</v>
      </c>
      <c r="AS137" s="15">
        <f>AR138/$C$14</f>
        <v>65764.405118317736</v>
      </c>
      <c r="AT137" s="16">
        <f>(AU136*$C$15+AU138*(1-$C$15))*EXP(-$C$9*$C$13)</f>
        <v>0</v>
      </c>
      <c r="AU137" s="15">
        <f>AT138/$C$14</f>
        <v>65764.405118317736</v>
      </c>
      <c r="AV137" s="16">
        <f>(AW136*$C$15+AW138*(1-$C$15))*EXP(-$C$9*$C$13)</f>
        <v>0</v>
      </c>
      <c r="AW137" s="15">
        <f>AV138/$C$14</f>
        <v>65764.405118317736</v>
      </c>
      <c r="AX137" s="16">
        <f>(AY136*$C$15+AY138*(1-$C$15))*EXP(-$C$9*$C$13)</f>
        <v>0</v>
      </c>
      <c r="AY137" s="15">
        <f>AX138/$C$14</f>
        <v>65764.405118317736</v>
      </c>
      <c r="AZ137" s="16">
        <f>(BA136*$C$15+BA138*(1-$C$15))*EXP(-$C$9*$C$13)</f>
        <v>0</v>
      </c>
      <c r="BA137" s="15">
        <f>AZ138/$C$14</f>
        <v>65764.405118317736</v>
      </c>
      <c r="BB137" s="16">
        <f>MAX(0,$C$8-BB136)</f>
        <v>0</v>
      </c>
      <c r="BD137" s="23">
        <f t="shared" si="29"/>
        <v>62157.333333333401</v>
      </c>
      <c r="BE137" s="25">
        <v>179.04152735940522</v>
      </c>
      <c r="BF137" s="25">
        <v>169.84408638422232</v>
      </c>
      <c r="BG137" s="25">
        <v>160.84089884829027</v>
      </c>
      <c r="BH137" s="25">
        <v>152.03769427731845</v>
      </c>
      <c r="BI137" s="25">
        <v>143.44025183474753</v>
      </c>
      <c r="BJ137" s="25">
        <v>135.05438596251742</v>
      </c>
      <c r="BK137" s="25">
        <v>126.88592967187948</v>
      </c>
      <c r="BL137" s="25">
        <v>118.94071521012022</v>
      </c>
      <c r="BM137" s="25">
        <v>111.22455180542116</v>
      </c>
      <c r="BN137" s="25">
        <v>103.74320016841526</v>
      </c>
      <c r="BO137" s="25">
        <v>96.502343406086098</v>
      </c>
      <c r="BP137" s="25">
        <v>89.507553982536336</v>
      </c>
      <c r="BQ137" s="25">
        <v>82.764256343260357</v>
      </c>
      <c r="BR137" s="25">
        <v>76.277684806761897</v>
      </c>
      <c r="BS137" s="25">
        <v>70.052836322143719</v>
      </c>
      <c r="BT137" s="25">
        <v>64.094417696852773</v>
      </c>
      <c r="BU137" s="25">
        <v>58.40678691916554</v>
      </c>
      <c r="BV137" s="25">
        <v>52.993888240411778</v>
      </c>
      <c r="BW137" s="25">
        <v>47.859180748776247</v>
      </c>
      <c r="BX137" s="25">
        <v>43.005560267713932</v>
      </c>
      <c r="BY137" s="25">
        <v>38.435274557145654</v>
      </c>
      <c r="BZ137" s="25">
        <v>34.149831996089695</v>
      </c>
      <c r="CA137" s="25">
        <v>30.14990419450103</v>
      </c>
      <c r="CB137" s="25">
        <v>26.435223334824116</v>
      </c>
      <c r="CC137" s="25">
        <v>23.004475496350668</v>
      </c>
      <c r="CD137" s="25">
        <v>19.85519178443322</v>
      </c>
      <c r="CE137" s="25">
        <v>16.983639787047565</v>
      </c>
      <c r="CF137" s="25">
        <v>14.384718724058219</v>
      </c>
      <c r="CG137" s="25">
        <v>12.051862642354669</v>
      </c>
      <c r="CH137" s="25">
        <v>9.9769571307859728</v>
      </c>
      <c r="CI137" s="25">
        <v>8.1502762474776471</v>
      </c>
      <c r="CJ137" s="25">
        <v>6.5604475993681239</v>
      </c>
      <c r="CK137" s="25">
        <v>5.1944546725785141</v>
      </c>
      <c r="CL137" s="25">
        <v>4.0376864019219614</v>
      </c>
      <c r="CM137" s="25">
        <v>3.0740443309200693</v>
      </c>
      <c r="CN137" s="25">
        <v>2.2861172055543242</v>
      </c>
      <c r="CO137" s="25">
        <v>1.6554310413947606</v>
      </c>
      <c r="CP137" s="25">
        <v>1.1627791315452727</v>
      </c>
      <c r="CQ137" s="25">
        <v>0.78863067697785783</v>
      </c>
      <c r="CR137" s="25">
        <v>0.51360844182020782</v>
      </c>
      <c r="CS137" s="25">
        <v>0.31901516296569826</v>
      </c>
      <c r="CT137" s="25">
        <v>0.18737613341489973</v>
      </c>
      <c r="CU137" s="25">
        <v>0.10295314485784096</v>
      </c>
      <c r="CV137" s="25">
        <v>5.217567721211442E-2</v>
      </c>
      <c r="CW137" s="25">
        <v>2.3932742667613565E-2</v>
      </c>
      <c r="CX137" s="25">
        <v>9.6773088159656222E-3</v>
      </c>
      <c r="CY137" s="25">
        <v>3.3176641969546203E-3</v>
      </c>
      <c r="CZ137" s="25">
        <v>9.0580906322316004E-4</v>
      </c>
      <c r="DA137" s="25">
        <v>1.7542444318920406E-4</v>
      </c>
      <c r="DB137" s="25">
        <v>1.8112127984701073E-5</v>
      </c>
      <c r="DC137" s="44">
        <f t="shared" si="26"/>
        <v>0</v>
      </c>
      <c r="DD137" s="5">
        <f t="shared" si="31"/>
        <v>55</v>
      </c>
      <c r="DE137" s="30" cm="1">
        <f t="array" ref="DE137">1/2*(rf-q)*DD137*dt-1/2*(sigma^2)*(DD137^2)*dt</f>
        <v>-2.2900378253424654</v>
      </c>
      <c r="DF137" s="25">
        <f t="shared" si="27"/>
        <v>5.5949885273972599</v>
      </c>
      <c r="DG137" s="6">
        <f t="shared" si="28"/>
        <v>-2.304684400684931</v>
      </c>
      <c r="DH137" s="5">
        <f t="shared" si="30"/>
        <v>179.04152735942159</v>
      </c>
      <c r="DI137" s="6">
        <v>188.42755414617784</v>
      </c>
    </row>
    <row r="138" spans="14:113" x14ac:dyDescent="0.25">
      <c r="T138" s="15">
        <f>S139/$C$14</f>
        <v>63250.653387814884</v>
      </c>
      <c r="U138" s="16">
        <f>(V137*$C$15+V139*(1-$C$15))*EXP(-$C$9*$C$13)</f>
        <v>24.089026754263394</v>
      </c>
      <c r="V138" s="15">
        <f>U139/$C$14</f>
        <v>63250.653387814884</v>
      </c>
      <c r="W138" s="16">
        <f>(X137*$C$15+X139*(1-$C$15))*EXP(-$C$9*$C$13)</f>
        <v>18.033196926857077</v>
      </c>
      <c r="X138" s="15">
        <f>W139/$C$14</f>
        <v>63250.653387814884</v>
      </c>
      <c r="Y138" s="16">
        <f>(Z137*$C$15+Z139*(1-$C$15))*EXP(-$C$9*$C$13)</f>
        <v>12.984044706381622</v>
      </c>
      <c r="Z138" s="15">
        <f>Y139/$C$14</f>
        <v>63250.653387814884</v>
      </c>
      <c r="AA138" s="16">
        <f>(AB137*$C$15+AB139*(1-$C$15))*EXP(-$C$9*$C$13)</f>
        <v>8.9041050886823943</v>
      </c>
      <c r="AB138" s="15">
        <f>AA139/$C$14</f>
        <v>63250.653387814884</v>
      </c>
      <c r="AC138" s="16">
        <f>(AD137*$C$15+AD139*(1-$C$15))*EXP(-$C$9*$C$13)</f>
        <v>5.736626715645925</v>
      </c>
      <c r="AD138" s="15">
        <f>AC139/$C$14</f>
        <v>63250.653387814884</v>
      </c>
      <c r="AE138" s="16">
        <f>(AF137*$C$15+AF139*(1-$C$15))*EXP(-$C$9*$C$13)</f>
        <v>3.4030398206015806</v>
      </c>
      <c r="AF138" s="15">
        <f>AE139/$C$14</f>
        <v>63250.653387814884</v>
      </c>
      <c r="AG138" s="16">
        <f>(AH137*$C$15+AH139*(1-$C$15))*EXP(-$C$9*$C$13)</f>
        <v>1.801388520656678</v>
      </c>
      <c r="AH138" s="15">
        <f>AG139/$C$14</f>
        <v>63250.653387814884</v>
      </c>
      <c r="AI138" s="16">
        <f>(AJ137*$C$15+AJ139*(1-$C$15))*EXP(-$C$9*$C$13)</f>
        <v>0.80678734863503221</v>
      </c>
      <c r="AJ138" s="15">
        <f>AI139/$C$14</f>
        <v>63250.653387814884</v>
      </c>
      <c r="AK138" s="16">
        <f>(AL137*$C$15+AL139*(1-$C$15))*EXP(-$C$9*$C$13)</f>
        <v>0.27549731870863775</v>
      </c>
      <c r="AL138" s="15">
        <f>AK139/$C$14</f>
        <v>63250.653387814884</v>
      </c>
      <c r="AM138" s="16">
        <f>(AN137*$C$15+AN139*(1-$C$15))*EXP(-$C$9*$C$13)</f>
        <v>5.471116139579453E-2</v>
      </c>
      <c r="AN138" s="15">
        <f>AM139/$C$14</f>
        <v>63250.653387814884</v>
      </c>
      <c r="AO138" s="16">
        <f>(AP137*$C$15+AP139*(1-$C$15))*EXP(-$C$9*$C$13)</f>
        <v>0</v>
      </c>
      <c r="AP138" s="15">
        <f>AO139/$C$14</f>
        <v>63250.653387814884</v>
      </c>
      <c r="AQ138" s="16">
        <f>(AR137*$C$15+AR139*(1-$C$15))*EXP(-$C$9*$C$13)</f>
        <v>0</v>
      </c>
      <c r="AR138" s="15">
        <f>AQ139/$C$14</f>
        <v>63250.653387814884</v>
      </c>
      <c r="AS138" s="16">
        <f>(AT137*$C$15+AT139*(1-$C$15))*EXP(-$C$9*$C$13)</f>
        <v>0</v>
      </c>
      <c r="AT138" s="15">
        <f>AS139/$C$14</f>
        <v>63250.653387814884</v>
      </c>
      <c r="AU138" s="16">
        <f>(AV137*$C$15+AV139*(1-$C$15))*EXP(-$C$9*$C$13)</f>
        <v>0</v>
      </c>
      <c r="AV138" s="15">
        <f>AU139/$C$14</f>
        <v>63250.653387814884</v>
      </c>
      <c r="AW138" s="16">
        <f>(AX137*$C$15+AX139*(1-$C$15))*EXP(-$C$9*$C$13)</f>
        <v>0</v>
      </c>
      <c r="AX138" s="15">
        <f>AW139/$C$14</f>
        <v>63250.653387814884</v>
      </c>
      <c r="AY138" s="16">
        <f>(AZ137*$C$15+AZ139*(1-$C$15))*EXP(-$C$9*$C$13)</f>
        <v>0</v>
      </c>
      <c r="AZ138" s="15">
        <f>AY139/$C$14</f>
        <v>63250.653387814884</v>
      </c>
      <c r="BA138" s="16">
        <f>(BB137*$C$15+BB139*(1-$C$15))*EXP(-$C$9*$C$13)</f>
        <v>0</v>
      </c>
      <c r="BB138" s="15">
        <f>BA139/$C$14</f>
        <v>63250.653387814884</v>
      </c>
      <c r="BD138" s="23">
        <f t="shared" si="29"/>
        <v>61027.20000000007</v>
      </c>
      <c r="BE138" s="25">
        <v>208.79530198697853</v>
      </c>
      <c r="BF138" s="25">
        <v>198.53848726588336</v>
      </c>
      <c r="BG138" s="25">
        <v>188.47521202425673</v>
      </c>
      <c r="BH138" s="25">
        <v>178.61197017062136</v>
      </c>
      <c r="BI138" s="25">
        <v>168.95536613680366</v>
      </c>
      <c r="BJ138" s="25">
        <v>159.51210401567747</v>
      </c>
      <c r="BK138" s="25">
        <v>150.2889743983184</v>
      </c>
      <c r="BL138" s="25">
        <v>141.29283859898595</v>
      </c>
      <c r="BM138" s="25">
        <v>132.53060992213145</v>
      </c>
      <c r="BN138" s="25">
        <v>124.00923158925393</v>
      </c>
      <c r="BO138" s="25">
        <v>115.73565090527978</v>
      </c>
      <c r="BP138" s="25">
        <v>107.71678920492045</v>
      </c>
      <c r="BQ138" s="25">
        <v>99.959507080140384</v>
      </c>
      <c r="BR138" s="25">
        <v>92.470564351909161</v>
      </c>
      <c r="BS138" s="25">
        <v>85.25657421483794</v>
      </c>
      <c r="BT138" s="25">
        <v>78.323950954918473</v>
      </c>
      <c r="BU138" s="25">
        <v>71.678850622145774</v>
      </c>
      <c r="BV138" s="25">
        <v>65.327104036334731</v>
      </c>
      <c r="BW138" s="25">
        <v>59.274141522468248</v>
      </c>
      <c r="BX138" s="25">
        <v>53.524908819913755</v>
      </c>
      <c r="BY138" s="25">
        <v>48.083773698577097</v>
      </c>
      <c r="BZ138" s="25">
        <v>42.95442295804142</v>
      </c>
      <c r="CA138" s="25">
        <v>38.139749699633974</v>
      </c>
      <c r="CB138" s="25">
        <v>33.641731066322514</v>
      </c>
      <c r="CC138" s="25">
        <v>29.461297065139416</v>
      </c>
      <c r="CD138" s="25">
        <v>25.598191648595506</v>
      </c>
      <c r="CE138" s="25">
        <v>22.050827964868791</v>
      </c>
      <c r="CF138" s="25">
        <v>18.816140621499304</v>
      </c>
      <c r="CG138" s="25">
        <v>15.889438970835007</v>
      </c>
      <c r="CH138" s="25">
        <v>13.264266835409742</v>
      </c>
      <c r="CI138" s="25">
        <v>10.93227574729511</v>
      </c>
      <c r="CJ138" s="25">
        <v>8.8831206448309334</v>
      </c>
      <c r="CK138" s="25">
        <v>7.1043889699826535</v>
      </c>
      <c r="CL138" s="25">
        <v>5.5815760814204554</v>
      </c>
      <c r="CM138" s="25">
        <v>4.2981215806468596</v>
      </c>
      <c r="CN138" s="25">
        <v>3.2355221438286144</v>
      </c>
      <c r="CO138" s="25">
        <v>2.3735362077522733</v>
      </c>
      <c r="CP138" s="25">
        <v>1.6904936624305553</v>
      </c>
      <c r="CQ138" s="25">
        <v>1.1637187313714576</v>
      </c>
      <c r="CR138" s="25">
        <v>0.77006566216252648</v>
      </c>
      <c r="CS138" s="25">
        <v>0.48655415193311857</v>
      </c>
      <c r="CT138" s="25">
        <v>0.29107469490731436</v>
      </c>
      <c r="CU138" s="25">
        <v>0.16311455130483116</v>
      </c>
      <c r="CV138" s="25">
        <v>8.443584744127508E-2</v>
      </c>
      <c r="CW138" s="25">
        <v>3.9623586075874649E-2</v>
      </c>
      <c r="CX138" s="25">
        <v>1.6420014816299656E-2</v>
      </c>
      <c r="CY138" s="25">
        <v>5.7799872396671458E-3</v>
      </c>
      <c r="CZ138" s="25">
        <v>1.6236493314160851E-3</v>
      </c>
      <c r="DA138" s="25">
        <v>3.2423936603626975E-4</v>
      </c>
      <c r="DB138" s="25">
        <v>3.4602208672958252E-5</v>
      </c>
      <c r="DC138" s="44">
        <f t="shared" ref="DC138:DC192" si="32">MAX(K-DD138*ds,0)</f>
        <v>0</v>
      </c>
      <c r="DD138" s="5">
        <f t="shared" si="31"/>
        <v>54</v>
      </c>
      <c r="DE138" s="30" cm="1">
        <f t="array" ref="DE138">1/2*(rf-q)*DD138*dt-1/2*(sigma^2)*(DD138^2)*dt</f>
        <v>-2.207390030136986</v>
      </c>
      <c r="DF138" s="25">
        <f t="shared" ref="DF138:DF168" si="33">1+(sigma^2)*(DD138^2)*dt+rf*dt</f>
        <v>5.429426635616438</v>
      </c>
      <c r="DG138" s="6">
        <f t="shared" ref="DG138:DG168" si="34">-0.5*dt*((rf-q)*DD138+sigma^2*DD138^2)</f>
        <v>-2.2217703041095889</v>
      </c>
      <c r="DH138" s="5">
        <f t="shared" si="30"/>
        <v>208.79530198697876</v>
      </c>
      <c r="DI138" s="6">
        <v>219.23928164373223</v>
      </c>
    </row>
    <row r="139" spans="14:113" x14ac:dyDescent="0.25">
      <c r="S139" s="15">
        <f>R140/$C$14</f>
        <v>60832.98627559813</v>
      </c>
      <c r="T139" s="16">
        <f>(U138*$C$15+U140*(1-$C$15))*EXP(-$C$9*$C$13)</f>
        <v>45.758216908053932</v>
      </c>
      <c r="U139" s="15">
        <f>T140/$C$14</f>
        <v>60832.98627559813</v>
      </c>
      <c r="V139" s="16">
        <f>(W138*$C$15+W140*(1-$C$15))*EXP(-$C$9*$C$13)</f>
        <v>35.934515170919319</v>
      </c>
      <c r="W139" s="15">
        <f>V140/$C$14</f>
        <v>60832.98627559813</v>
      </c>
      <c r="X139" s="16">
        <f>(Y138*$C$15+Y140*(1-$C$15))*EXP(-$C$9*$C$13)</f>
        <v>27.382597310133509</v>
      </c>
      <c r="Y139" s="15">
        <f>X140/$C$14</f>
        <v>60832.98627559813</v>
      </c>
      <c r="Z139" s="16">
        <f>(AA138*$C$15+AA140*(1-$C$15))*EXP(-$C$9*$C$13)</f>
        <v>20.107334691984232</v>
      </c>
      <c r="AA139" s="15">
        <f>Z140/$C$14</f>
        <v>60832.98627559813</v>
      </c>
      <c r="AB139" s="16">
        <f>(AC138*$C$15+AC140*(1-$C$15))*EXP(-$C$9*$C$13)</f>
        <v>14.09481405257476</v>
      </c>
      <c r="AC139" s="15">
        <f>AB140/$C$14</f>
        <v>60832.98627559813</v>
      </c>
      <c r="AD139" s="16">
        <f>(AE138*$C$15+AE140*(1-$C$15))*EXP(-$C$9*$C$13)</f>
        <v>9.3072072741794472</v>
      </c>
      <c r="AE139" s="15">
        <f>AD140/$C$14</f>
        <v>60832.98627559813</v>
      </c>
      <c r="AF139" s="16">
        <f>(AG138*$C$15+AG140*(1-$C$15))*EXP(-$C$9*$C$13)</f>
        <v>5.6771674253495439</v>
      </c>
      <c r="AG139" s="15">
        <f>AF140/$C$14</f>
        <v>60832.98627559813</v>
      </c>
      <c r="AH139" s="16">
        <f>(AI138*$C$15+AI140*(1-$C$15))*EXP(-$C$9*$C$13)</f>
        <v>3.1023619207840589</v>
      </c>
      <c r="AI139" s="15">
        <f>AH140/$C$14</f>
        <v>60832.98627559813</v>
      </c>
      <c r="AJ139" s="16">
        <f>(AK138*$C$15+AK140*(1-$C$15))*EXP(-$C$9*$C$13)</f>
        <v>1.4414314047667365</v>
      </c>
      <c r="AK139" s="15">
        <f>AJ140/$C$14</f>
        <v>60832.98627559813</v>
      </c>
      <c r="AL139" s="16">
        <f>(AM138*$C$15+AM140*(1-$C$15))*EXP(-$C$9*$C$13)</f>
        <v>0.51379264817304704</v>
      </c>
      <c r="AM139" s="15">
        <f>AL140/$C$14</f>
        <v>60832.98627559813</v>
      </c>
      <c r="AN139" s="16">
        <f>(AO138*$C$15+AO140*(1-$C$15))*EXP(-$C$9*$C$13)</f>
        <v>0.10735965194545728</v>
      </c>
      <c r="AO139" s="15">
        <f>AN140/$C$14</f>
        <v>60832.98627559813</v>
      </c>
      <c r="AP139" s="16">
        <f>(AQ138*$C$15+AQ140*(1-$C$15))*EXP(-$C$9*$C$13)</f>
        <v>0</v>
      </c>
      <c r="AQ139" s="15">
        <f>AP140/$C$14</f>
        <v>60832.98627559813</v>
      </c>
      <c r="AR139" s="16">
        <f>(AS138*$C$15+AS140*(1-$C$15))*EXP(-$C$9*$C$13)</f>
        <v>0</v>
      </c>
      <c r="AS139" s="15">
        <f>AR140/$C$14</f>
        <v>60832.98627559813</v>
      </c>
      <c r="AT139" s="16">
        <f>(AU138*$C$15+AU140*(1-$C$15))*EXP(-$C$9*$C$13)</f>
        <v>0</v>
      </c>
      <c r="AU139" s="15">
        <f>AT140/$C$14</f>
        <v>60832.98627559813</v>
      </c>
      <c r="AV139" s="16">
        <f>(AW138*$C$15+AW140*(1-$C$15))*EXP(-$C$9*$C$13)</f>
        <v>0</v>
      </c>
      <c r="AW139" s="15">
        <f>AV140/$C$14</f>
        <v>60832.98627559813</v>
      </c>
      <c r="AX139" s="16">
        <f>(AY138*$C$15+AY140*(1-$C$15))*EXP(-$C$9*$C$13)</f>
        <v>0</v>
      </c>
      <c r="AY139" s="15">
        <f>AX140/$C$14</f>
        <v>60832.98627559813</v>
      </c>
      <c r="AZ139" s="16">
        <f>(BA138*$C$15+BA140*(1-$C$15))*EXP(-$C$9*$C$13)</f>
        <v>0</v>
      </c>
      <c r="BA139" s="15">
        <f>AZ140/$C$14</f>
        <v>60832.98627559813</v>
      </c>
      <c r="BB139" s="16">
        <f>MAX(0,$C$8-BB138)</f>
        <v>0</v>
      </c>
      <c r="BD139" s="23">
        <f t="shared" si="29"/>
        <v>59897.066666666738</v>
      </c>
      <c r="BE139" s="25">
        <v>243.41468010114181</v>
      </c>
      <c r="BF139" s="25">
        <v>232.00267487085389</v>
      </c>
      <c r="BG139" s="25">
        <v>220.78057196338051</v>
      </c>
      <c r="BH139" s="25">
        <v>209.75558536346415</v>
      </c>
      <c r="BI139" s="25">
        <v>198.93510579556141</v>
      </c>
      <c r="BJ139" s="25">
        <v>188.32669442225648</v>
      </c>
      <c r="BK139" s="25">
        <v>177.93807443264839</v>
      </c>
      <c r="BL139" s="25">
        <v>167.77712018689908</v>
      </c>
      <c r="BM139" s="25">
        <v>157.85184353924609</v>
      </c>
      <c r="BN139" s="25">
        <v>148.17037691339169</v>
      </c>
      <c r="BO139" s="25">
        <v>138.74095265120744</v>
      </c>
      <c r="BP139" s="25">
        <v>129.57187809827187</v>
      </c>
      <c r="BQ139" s="25">
        <v>120.67150582826308</v>
      </c>
      <c r="BR139" s="25">
        <v>112.04819834338811</v>
      </c>
      <c r="BS139" s="25">
        <v>103.71028652110778</v>
      </c>
      <c r="BT139" s="25">
        <v>95.666021010358264</v>
      </c>
      <c r="BU139" s="25">
        <v>87.923515716165795</v>
      </c>
      <c r="BV139" s="25">
        <v>80.490682454164386</v>
      </c>
      <c r="BW139" s="25">
        <v>73.375155811851585</v>
      </c>
      <c r="BX139" s="25">
        <v>66.584207229422276</v>
      </c>
      <c r="BY139" s="25">
        <v>60.124647320421616</v>
      </c>
      <c r="BZ139" s="25">
        <v>54.002715505446574</v>
      </c>
      <c r="CA139" s="25">
        <v>48.223956149206963</v>
      </c>
      <c r="CB139" s="25">
        <v>42.793080596145423</v>
      </c>
      <c r="CC139" s="25">
        <v>37.713814822342918</v>
      </c>
      <c r="CD139" s="25">
        <v>32.988732898307262</v>
      </c>
      <c r="CE139" s="25">
        <v>28.619077132407945</v>
      </c>
      <c r="CF139" s="25">
        <v>24.604566688917032</v>
      </c>
      <c r="CG139" s="25">
        <v>20.943197703481278</v>
      </c>
      <c r="CH139" s="25">
        <v>17.631039508605731</v>
      </c>
      <c r="CI139" s="25">
        <v>14.662033581121445</v>
      </c>
      <c r="CJ139" s="25">
        <v>12.02780426024934</v>
      </c>
      <c r="CK139" s="25">
        <v>9.7174931441878485</v>
      </c>
      <c r="CL139" s="25">
        <v>7.7176322656411038</v>
      </c>
      <c r="CM139" s="25">
        <v>6.0120744680880227</v>
      </c>
      <c r="CN139" s="25">
        <v>4.5820024748573047</v>
      </c>
      <c r="CO139" s="25">
        <v>3.4060403524614085</v>
      </c>
      <c r="CP139" s="25">
        <v>2.4604915161853418</v>
      </c>
      <c r="CQ139" s="25">
        <v>1.7197248983935187</v>
      </c>
      <c r="CR139" s="25">
        <v>1.1567239348503906</v>
      </c>
      <c r="CS139" s="25">
        <v>0.74380011652420452</v>
      </c>
      <c r="CT139" s="25">
        <v>0.4534529048301682</v>
      </c>
      <c r="CU139" s="25">
        <v>0.25933088140043409</v>
      </c>
      <c r="CV139" s="25">
        <v>0.13721738281890772</v>
      </c>
      <c r="CW139" s="25">
        <v>6.5933197070235303E-2</v>
      </c>
      <c r="CX139" s="25">
        <v>2.802881247330671E-2</v>
      </c>
      <c r="CY139" s="25">
        <v>1.014196822659617E-2</v>
      </c>
      <c r="CZ139" s="25">
        <v>2.9350254348074812E-3</v>
      </c>
      <c r="DA139" s="25">
        <v>6.0527537266447887E-4</v>
      </c>
      <c r="DB139" s="25">
        <v>6.6879510781479322E-5</v>
      </c>
      <c r="DC139" s="44">
        <f t="shared" si="32"/>
        <v>0</v>
      </c>
      <c r="DD139" s="5">
        <f t="shared" si="31"/>
        <v>53</v>
      </c>
      <c r="DE139" s="30" cm="1">
        <f t="array" ref="DE139">1/2*(rf-q)*DD139*dt-1/2*(sigma^2)*(DD139^2)*dt</f>
        <v>-2.1262611513698628</v>
      </c>
      <c r="DF139" s="25">
        <f t="shared" si="33"/>
        <v>5.2669025767123285</v>
      </c>
      <c r="DG139" s="6">
        <f t="shared" si="34"/>
        <v>-2.1403751239726021</v>
      </c>
      <c r="DH139" s="5">
        <f t="shared" ref="DH139:DH170" si="35">DE139*DI140+DF139*DI139+DG139*DI138-DC139</f>
        <v>243.41468010110037</v>
      </c>
      <c r="DI139" s="6">
        <v>255.00955489501905</v>
      </c>
    </row>
    <row r="140" spans="14:113" x14ac:dyDescent="0.25">
      <c r="R140" s="15">
        <f>Q141/$C$14</f>
        <v>58507.731082506631</v>
      </c>
      <c r="S140" s="16">
        <f>(T139*$C$15+T141*(1-$C$15))*EXP(-$C$9*$C$13)</f>
        <v>81.545178538686741</v>
      </c>
      <c r="T140" s="15">
        <f>S141/$C$14</f>
        <v>58507.731082506631</v>
      </c>
      <c r="U140" s="16">
        <f>(V139*$C$15+V141*(1-$C$15))*EXP(-$C$9*$C$13)</f>
        <v>66.623041160148205</v>
      </c>
      <c r="V140" s="15">
        <f>U141/$C$14</f>
        <v>58507.731082506631</v>
      </c>
      <c r="W140" s="16">
        <f>(X139*$C$15+X141*(1-$C$15))*EXP(-$C$9*$C$13)</f>
        <v>53.170356290038818</v>
      </c>
      <c r="X140" s="15">
        <f>W141/$C$14</f>
        <v>58507.731082506631</v>
      </c>
      <c r="Y140" s="16">
        <f>(Z139*$C$15+Z141*(1-$C$15))*EXP(-$C$9*$C$13)</f>
        <v>41.245092750624664</v>
      </c>
      <c r="Z140" s="15">
        <f>Y141/$C$14</f>
        <v>58507.731082506631</v>
      </c>
      <c r="AA140" s="16">
        <f>(AB139*$C$15+AB141*(1-$C$15))*EXP(-$C$9*$C$13)</f>
        <v>30.892842575779508</v>
      </c>
      <c r="AB140" s="15">
        <f>AA141/$C$14</f>
        <v>58507.731082506631</v>
      </c>
      <c r="AC140" s="16">
        <f>(AD139*$C$15+AD141*(1-$C$15))*EXP(-$C$9*$C$13)</f>
        <v>22.14088590043897</v>
      </c>
      <c r="AD140" s="15">
        <f>AC141/$C$14</f>
        <v>58507.731082506631</v>
      </c>
      <c r="AE140" s="16">
        <f>(AF139*$C$15+AF141*(1-$C$15))*EXP(-$C$9*$C$13)</f>
        <v>14.990559198753633</v>
      </c>
      <c r="AF140" s="15">
        <f>AE141/$C$14</f>
        <v>58507.731082506631</v>
      </c>
      <c r="AG140" s="16">
        <f>(AH139*$C$15+AH141*(1-$C$15))*EXP(-$C$9*$C$13)</f>
        <v>9.4077664239888428</v>
      </c>
      <c r="AH140" s="15">
        <f>AG141/$C$14</f>
        <v>58507.731082506631</v>
      </c>
      <c r="AI140" s="16">
        <f>(AJ139*$C$15+AJ141*(1-$C$15))*EXP(-$C$9*$C$13)</f>
        <v>5.3118123524923133</v>
      </c>
      <c r="AJ140" s="15">
        <f>AI141/$C$14</f>
        <v>58507.731082506631</v>
      </c>
      <c r="AK140" s="16">
        <f>(AL139*$C$15+AL141*(1-$C$15))*EXP(-$C$9*$C$13)</f>
        <v>2.5635524413331705</v>
      </c>
      <c r="AL140" s="15">
        <f>AK141/$C$14</f>
        <v>58507.731082506631</v>
      </c>
      <c r="AM140" s="16">
        <f>(AN139*$C$15+AN141*(1-$C$15))*EXP(-$C$9*$C$13)</f>
        <v>0.95559484513845738</v>
      </c>
      <c r="AN140" s="15">
        <f>AM141/$C$14</f>
        <v>58507.731082506631</v>
      </c>
      <c r="AO140" s="16">
        <f>(AP139*$C$15+AP141*(1-$C$15))*EXP(-$C$9*$C$13)</f>
        <v>0.21067172715393503</v>
      </c>
      <c r="AP140" s="15">
        <f>AO141/$C$14</f>
        <v>58507.731082506631</v>
      </c>
      <c r="AQ140" s="16">
        <f>(AR139*$C$15+AR141*(1-$C$15))*EXP(-$C$9*$C$13)</f>
        <v>0</v>
      </c>
      <c r="AR140" s="15">
        <f>AQ141/$C$14</f>
        <v>58507.731082506631</v>
      </c>
      <c r="AS140" s="16">
        <f>(AT139*$C$15+AT141*(1-$C$15))*EXP(-$C$9*$C$13)</f>
        <v>0</v>
      </c>
      <c r="AT140" s="15">
        <f>AS141/$C$14</f>
        <v>58507.731082506631</v>
      </c>
      <c r="AU140" s="16">
        <f>(AV139*$C$15+AV141*(1-$C$15))*EXP(-$C$9*$C$13)</f>
        <v>0</v>
      </c>
      <c r="AV140" s="15">
        <f>AU141/$C$14</f>
        <v>58507.731082506631</v>
      </c>
      <c r="AW140" s="16">
        <f>(AX139*$C$15+AX141*(1-$C$15))*EXP(-$C$9*$C$13)</f>
        <v>0</v>
      </c>
      <c r="AX140" s="15">
        <f>AW141/$C$14</f>
        <v>58507.731082506631</v>
      </c>
      <c r="AY140" s="16">
        <f>(AZ139*$C$15+AZ141*(1-$C$15))*EXP(-$C$9*$C$13)</f>
        <v>0</v>
      </c>
      <c r="AZ140" s="15">
        <f>AY141/$C$14</f>
        <v>58507.731082506631</v>
      </c>
      <c r="BA140" s="16">
        <f>(BB139*$C$15+BB141*(1-$C$15))*EXP(-$C$9*$C$13)</f>
        <v>0</v>
      </c>
      <c r="BB140" s="15">
        <f>BA141/$C$14</f>
        <v>58507.731082506631</v>
      </c>
      <c r="BD140" s="23">
        <f t="shared" si="29"/>
        <v>58766.933333333407</v>
      </c>
      <c r="BE140" s="25">
        <v>283.66151551969318</v>
      </c>
      <c r="BF140" s="25">
        <v>270.99590962842893</v>
      </c>
      <c r="BG140" s="25">
        <v>258.51317574147481</v>
      </c>
      <c r="BH140" s="25">
        <v>246.22117048081719</v>
      </c>
      <c r="BI140" s="25">
        <v>234.12799684993843</v>
      </c>
      <c r="BJ140" s="25">
        <v>222.24200351474457</v>
      </c>
      <c r="BK140" s="25">
        <v>210.57178232303144</v>
      </c>
      <c r="BL140" s="25">
        <v>199.12616372689121</v>
      </c>
      <c r="BM140" s="25">
        <v>187.91420972096202</v>
      </c>
      <c r="BN140" s="25">
        <v>176.94520385110158</v>
      </c>
      <c r="BO140" s="25">
        <v>166.22863778223581</v>
      </c>
      <c r="BP140" s="25">
        <v>155.77419384031086</v>
      </c>
      <c r="BQ140" s="25">
        <v>145.59172286102006</v>
      </c>
      <c r="BR140" s="25">
        <v>135.69121658705347</v>
      </c>
      <c r="BS140" s="25">
        <v>126.08277375617844</v>
      </c>
      <c r="BT140" s="25">
        <v>116.77655891517529</v>
      </c>
      <c r="BU140" s="25">
        <v>107.7827528809067</v>
      </c>
      <c r="BV140" s="25">
        <v>99.111493652157108</v>
      </c>
      <c r="BW140" s="25">
        <v>90.772806458351354</v>
      </c>
      <c r="BX140" s="25">
        <v>82.776521520028453</v>
      </c>
      <c r="BY140" s="25">
        <v>75.132178000036163</v>
      </c>
      <c r="BZ140" s="25">
        <v>67.848912556673511</v>
      </c>
      <c r="CA140" s="25">
        <v>60.935330888356212</v>
      </c>
      <c r="CB140" s="25">
        <v>54.399360708229089</v>
      </c>
      <c r="CC140" s="25">
        <v>48.248084739214882</v>
      </c>
      <c r="CD140" s="25">
        <v>42.487552618202734</v>
      </c>
      <c r="CE140" s="25">
        <v>37.122571097664547</v>
      </c>
      <c r="CF140" s="25">
        <v>32.156472703191575</v>
      </c>
      <c r="CG140" s="25">
        <v>27.590864130516994</v>
      </c>
      <c r="CH140" s="25">
        <v>23.425357243901516</v>
      </c>
      <c r="CI140" s="25">
        <v>19.657287677553008</v>
      </c>
      <c r="CJ140" s="25">
        <v>16.281428851115407</v>
      </c>
      <c r="CK140" s="25">
        <v>13.289712777815749</v>
      </c>
      <c r="CL140" s="25">
        <v>10.670973406125576</v>
      </c>
      <c r="CM140" s="25">
        <v>8.410733324077956</v>
      </c>
      <c r="CN140" s="25">
        <v>6.4910602210386967</v>
      </c>
      <c r="CO140" s="25">
        <v>4.8905250095937625</v>
      </c>
      <c r="CP140" s="25">
        <v>3.5842980157990327</v>
      </c>
      <c r="CQ140" s="25">
        <v>2.5444216654027914</v>
      </c>
      <c r="CR140" s="25">
        <v>1.7402955262694113</v>
      </c>
      <c r="CS140" s="25">
        <v>1.1393997584301927</v>
      </c>
      <c r="CT140" s="25">
        <v>0.70826311920481066</v>
      </c>
      <c r="CU140" s="25">
        <v>0.41364945983054852</v>
      </c>
      <c r="CV140" s="25">
        <v>0.22389206630163247</v>
      </c>
      <c r="CW140" s="25">
        <v>0.11025248474297246</v>
      </c>
      <c r="CX140" s="25">
        <v>4.8130524860903426E-2</v>
      </c>
      <c r="CY140" s="25">
        <v>1.792366486364955E-2</v>
      </c>
      <c r="CZ140" s="25">
        <v>5.351176665173746E-3</v>
      </c>
      <c r="DA140" s="25">
        <v>1.1414651854814554E-3</v>
      </c>
      <c r="DB140" s="25">
        <v>1.3083350768817377E-4</v>
      </c>
      <c r="DC140" s="44">
        <f t="shared" si="32"/>
        <v>0</v>
      </c>
      <c r="DD140" s="5">
        <f t="shared" si="31"/>
        <v>52</v>
      </c>
      <c r="DE140" s="30" cm="1">
        <f t="array" ref="DE140">1/2*(rf-q)*DD140*dt-1/2*(sigma^2)*(DD140^2)*dt</f>
        <v>-2.0466511890410954</v>
      </c>
      <c r="DF140" s="25">
        <f t="shared" si="33"/>
        <v>5.1074163506849306</v>
      </c>
      <c r="DG140" s="6">
        <f t="shared" si="34"/>
        <v>-2.0604988602739724</v>
      </c>
      <c r="DH140" s="5">
        <f t="shared" si="35"/>
        <v>283.66151551970495</v>
      </c>
      <c r="DI140" s="6">
        <v>296.50238242264089</v>
      </c>
    </row>
    <row r="141" spans="14:113" x14ac:dyDescent="0.25">
      <c r="Q141" s="15">
        <f>P142/$C$14</f>
        <v>56271.355493130526</v>
      </c>
      <c r="R141" s="16">
        <f>(S140*$C$15+S142*(1-$C$15))*EXP(-$C$9*$C$13)</f>
        <v>137.38997365737603</v>
      </c>
      <c r="S141" s="15">
        <f>R142/$C$14</f>
        <v>56271.355493130526</v>
      </c>
      <c r="T141" s="16">
        <f>(U140*$C$15+U142*(1-$C$15))*EXP(-$C$9*$C$13)</f>
        <v>116.0068407914992</v>
      </c>
      <c r="U141" s="15">
        <f>T142/$C$14</f>
        <v>56271.355493130526</v>
      </c>
      <c r="V141" s="16">
        <f>(W140*$C$15+W142*(1-$C$15))*EXP(-$C$9*$C$13)</f>
        <v>96.173351573803032</v>
      </c>
      <c r="W141" s="15">
        <f>V142/$C$14</f>
        <v>56271.355493130526</v>
      </c>
      <c r="X141" s="16">
        <f>(Y140*$C$15+Y142*(1-$C$15))*EXP(-$C$9*$C$13)</f>
        <v>78.000195670757861</v>
      </c>
      <c r="Y141" s="15">
        <f>X142/$C$14</f>
        <v>56271.355493130526</v>
      </c>
      <c r="Z141" s="16">
        <f>(AA140*$C$15+AA142*(1-$C$15))*EXP(-$C$9*$C$13)</f>
        <v>61.596440073484032</v>
      </c>
      <c r="AA141" s="15">
        <f>Z142/$C$14</f>
        <v>56271.355493130526</v>
      </c>
      <c r="AB141" s="16">
        <f>(AC140*$C$15+AC142*(1-$C$15))*EXP(-$C$9*$C$13)</f>
        <v>47.064931428988054</v>
      </c>
      <c r="AC141" s="15">
        <f>AB142/$C$14</f>
        <v>56271.355493130526</v>
      </c>
      <c r="AD141" s="16">
        <f>(AE140*$C$15+AE142*(1-$C$15))*EXP(-$C$9*$C$13)</f>
        <v>34.49558370732759</v>
      </c>
      <c r="AE141" s="15">
        <f>AD142/$C$14</f>
        <v>56271.355493130526</v>
      </c>
      <c r="AF141" s="16">
        <f>(AG140*$C$15+AG142*(1-$C$15))*EXP(-$C$9*$C$13)</f>
        <v>23.955792160140042</v>
      </c>
      <c r="AG141" s="15">
        <f>AF142/$C$14</f>
        <v>56271.355493130526</v>
      </c>
      <c r="AH141" s="16">
        <f>(AI140*$C$15+AI142*(1-$C$15))*EXP(-$C$9*$C$13)</f>
        <v>15.477071218752119</v>
      </c>
      <c r="AI141" s="15">
        <f>AH142/$C$14</f>
        <v>56271.355493130526</v>
      </c>
      <c r="AJ141" s="16">
        <f>(AK140*$C$15+AK142*(1-$C$15))*EXP(-$C$9*$C$13)</f>
        <v>9.0370288278820574</v>
      </c>
      <c r="AK141" s="15">
        <f>AJ142/$C$14</f>
        <v>56271.355493130526</v>
      </c>
      <c r="AL141" s="16">
        <f>(AM140*$C$15+AM142*(1-$C$15))*EXP(-$C$9*$C$13)</f>
        <v>4.5363024933025251</v>
      </c>
      <c r="AM141" s="15">
        <f>AL142/$C$14</f>
        <v>56271.355493130526</v>
      </c>
      <c r="AN141" s="16">
        <f>(AO140*$C$15+AO142*(1-$C$15))*EXP(-$C$9*$C$13)</f>
        <v>1.7719067350618822</v>
      </c>
      <c r="AO141" s="15">
        <f>AN142/$C$14</f>
        <v>56271.355493130526</v>
      </c>
      <c r="AP141" s="16">
        <f>(AQ140*$C$15+AQ142*(1-$C$15))*EXP(-$C$9*$C$13)</f>
        <v>0.41340089892029513</v>
      </c>
      <c r="AQ141" s="15">
        <f>AP142/$C$14</f>
        <v>56271.355493130526</v>
      </c>
      <c r="AR141" s="16">
        <f>(AS140*$C$15+AS142*(1-$C$15))*EXP(-$C$9*$C$13)</f>
        <v>0</v>
      </c>
      <c r="AS141" s="15">
        <f>AR142/$C$14</f>
        <v>56271.355493130526</v>
      </c>
      <c r="AT141" s="16">
        <f>(AU140*$C$15+AU142*(1-$C$15))*EXP(-$C$9*$C$13)</f>
        <v>0</v>
      </c>
      <c r="AU141" s="15">
        <f>AT142/$C$14</f>
        <v>56271.355493130526</v>
      </c>
      <c r="AV141" s="16">
        <f>(AW140*$C$15+AW142*(1-$C$15))*EXP(-$C$9*$C$13)</f>
        <v>0</v>
      </c>
      <c r="AW141" s="15">
        <f>AV142/$C$14</f>
        <v>56271.355493130526</v>
      </c>
      <c r="AX141" s="16">
        <f>(AY140*$C$15+AY142*(1-$C$15))*EXP(-$C$9*$C$13)</f>
        <v>0</v>
      </c>
      <c r="AY141" s="15">
        <f>AX142/$C$14</f>
        <v>56271.355493130526</v>
      </c>
      <c r="AZ141" s="16">
        <f>(BA140*$C$15+BA142*(1-$C$15))*EXP(-$C$9*$C$13)</f>
        <v>0</v>
      </c>
      <c r="BA141" s="15">
        <f>AZ142/$C$14</f>
        <v>56271.355493130526</v>
      </c>
      <c r="BB141" s="16">
        <f>MAX(0,$C$8-BB140)</f>
        <v>0</v>
      </c>
      <c r="BD141" s="23">
        <f t="shared" si="29"/>
        <v>57636.800000000076</v>
      </c>
      <c r="BE141" s="25">
        <v>330.40602399443452</v>
      </c>
      <c r="BF141" s="25">
        <v>316.38733575063418</v>
      </c>
      <c r="BG141" s="25">
        <v>302.54062665049605</v>
      </c>
      <c r="BH141" s="25">
        <v>288.87428094087409</v>
      </c>
      <c r="BI141" s="25">
        <v>275.39699974648028</v>
      </c>
      <c r="BJ141" s="25">
        <v>262.11780683168274</v>
      </c>
      <c r="BK141" s="25">
        <v>249.04605311548048</v>
      </c>
      <c r="BL141" s="25">
        <v>236.19141962741409</v>
      </c>
      <c r="BM141" s="25">
        <v>223.56391853629489</v>
      </c>
      <c r="BN141" s="25">
        <v>211.17389181896948</v>
      </c>
      <c r="BO141" s="25">
        <v>199.03200706147538</v>
      </c>
      <c r="BP141" s="25">
        <v>187.14924979871026</v>
      </c>
      <c r="BQ141" s="25">
        <v>175.53691169980553</v>
      </c>
      <c r="BR141" s="25">
        <v>164.20657379335969</v>
      </c>
      <c r="BS141" s="25">
        <v>153.17008379833578</v>
      </c>
      <c r="BT141" s="25">
        <v>142.43952648177284</v>
      </c>
      <c r="BU141" s="25">
        <v>132.02718580285213</v>
      </c>
      <c r="BV141" s="25">
        <v>121.94549742446064</v>
      </c>
      <c r="BW141" s="25">
        <v>112.20698997944181</v>
      </c>
      <c r="BX141" s="25">
        <v>102.82421327216322</v>
      </c>
      <c r="BY141" s="25">
        <v>93.809651382320595</v>
      </c>
      <c r="BZ141" s="25">
        <v>85.17561842610418</v>
      </c>
      <c r="CA141" s="25">
        <v>76.934134534065947</v>
      </c>
      <c r="CB141" s="25">
        <v>69.096779446363698</v>
      </c>
      <c r="CC141" s="25">
        <v>61.674521035112441</v>
      </c>
      <c r="CD141" s="25">
        <v>54.677516083576002</v>
      </c>
      <c r="CE141" s="25">
        <v>48.114880842583069</v>
      </c>
      <c r="CF141" s="25">
        <v>41.99442932643359</v>
      </c>
      <c r="CG141" s="25">
        <v>36.32237810983316</v>
      </c>
      <c r="CH141" s="25">
        <v>31.103017680047977</v>
      </c>
      <c r="CI141" s="25">
        <v>26.338352352748853</v>
      </c>
      <c r="CJ141" s="25">
        <v>22.027713574455746</v>
      </c>
      <c r="CK141" s="25">
        <v>18.167355327547131</v>
      </c>
      <c r="CL141" s="25">
        <v>14.750045538950484</v>
      </c>
      <c r="CM141" s="25">
        <v>11.764674029036579</v>
      </c>
      <c r="CN141" s="25">
        <v>9.1959056434039255</v>
      </c>
      <c r="CO141" s="25">
        <v>7.0239165297402897</v>
      </c>
      <c r="CP141" s="25">
        <v>5.2242613292552056</v>
      </c>
      <c r="CQ141" s="25">
        <v>3.7679278905912392</v>
      </c>
      <c r="CR141" s="25">
        <v>2.6216415121247727</v>
      </c>
      <c r="CS141" s="25">
        <v>1.7484789610159908</v>
      </c>
      <c r="CT141" s="25">
        <v>1.1088386698831927</v>
      </c>
      <c r="CU141" s="25">
        <v>0.66178202224214278</v>
      </c>
      <c r="CV141" s="25">
        <v>0.3667069692010142</v>
      </c>
      <c r="CW141" s="25">
        <v>0.1852389615827002</v>
      </c>
      <c r="CX141" s="25">
        <v>8.3133671976617488E-2</v>
      </c>
      <c r="CY141" s="25">
        <v>3.1903300708886924E-2</v>
      </c>
      <c r="CZ141" s="25">
        <v>9.8412497119972926E-3</v>
      </c>
      <c r="DA141" s="25">
        <v>2.1752290918208052E-3</v>
      </c>
      <c r="DB141" s="25">
        <v>2.5916288121360302E-4</v>
      </c>
      <c r="DC141" s="44">
        <f t="shared" si="32"/>
        <v>0</v>
      </c>
      <c r="DD141" s="5">
        <f t="shared" si="31"/>
        <v>51</v>
      </c>
      <c r="DE141" s="30" cm="1">
        <f t="array" ref="DE141">1/2*(rf-q)*DD141*dt-1/2*(sigma^2)*(DD141^2)*dt</f>
        <v>-1.9685601431506845</v>
      </c>
      <c r="DF141" s="25">
        <f t="shared" si="33"/>
        <v>4.950967957534246</v>
      </c>
      <c r="DG141" s="6">
        <f t="shared" si="34"/>
        <v>-1.9821415130136981</v>
      </c>
      <c r="DH141" s="5">
        <f t="shared" si="35"/>
        <v>330.40602399439535</v>
      </c>
      <c r="DI141" s="6">
        <v>344.58861726848295</v>
      </c>
    </row>
    <row r="142" spans="14:113" x14ac:dyDescent="0.25">
      <c r="P142" s="15">
        <f>O143/$C$14</f>
        <v>54120.462209839825</v>
      </c>
      <c r="Q142" s="16">
        <f>(R141*$C$15+R143*(1-$C$15))*EXP(-$C$9*$C$13)</f>
        <v>220.25684168593875</v>
      </c>
      <c r="R142" s="15">
        <f>Q143/$C$14</f>
        <v>54120.462209839825</v>
      </c>
      <c r="S142" s="16">
        <f>(T141*$C$15+T143*(1-$C$15))*EXP(-$C$9*$C$13)</f>
        <v>191.17196550452311</v>
      </c>
      <c r="T142" s="15">
        <f>S143/$C$14</f>
        <v>54120.462209839825</v>
      </c>
      <c r="U142" s="16">
        <f>(V141*$C$15+V143*(1-$C$15))*EXP(-$C$9*$C$13)</f>
        <v>163.5636270570283</v>
      </c>
      <c r="V142" s="15">
        <f>U143/$C$14</f>
        <v>54120.462209839825</v>
      </c>
      <c r="W142" s="16">
        <f>(X141*$C$15+X143*(1-$C$15))*EXP(-$C$9*$C$13)</f>
        <v>137.58286788257217</v>
      </c>
      <c r="X142" s="15">
        <f>W143/$C$14</f>
        <v>54120.462209839825</v>
      </c>
      <c r="Y142" s="16">
        <f>(Z141*$C$15+Z143*(1-$C$15))*EXP(-$C$9*$C$13)</f>
        <v>113.39114114644828</v>
      </c>
      <c r="Z142" s="15">
        <f>Y143/$C$14</f>
        <v>54120.462209839825</v>
      </c>
      <c r="AA142" s="16">
        <f>(AB141*$C$15+AB143*(1-$C$15))*EXP(-$C$9*$C$13)</f>
        <v>91.158619542985761</v>
      </c>
      <c r="AB142" s="15">
        <f>AA143/$C$14</f>
        <v>54120.462209839825</v>
      </c>
      <c r="AC142" s="16">
        <f>(AD141*$C$15+AD143*(1-$C$15))*EXP(-$C$9*$C$13)</f>
        <v>71.060881544488652</v>
      </c>
      <c r="AD142" s="15">
        <f>AC143/$C$14</f>
        <v>54120.462209839825</v>
      </c>
      <c r="AE142" s="16">
        <f>(AF141*$C$15+AF143*(1-$C$15))*EXP(-$C$9*$C$13)</f>
        <v>53.273079846385059</v>
      </c>
      <c r="AF142" s="15">
        <f>AE143/$C$14</f>
        <v>54120.462209839825</v>
      </c>
      <c r="AG142" s="16">
        <f>(AH141*$C$15+AH143*(1-$C$15))*EXP(-$C$9*$C$13)</f>
        <v>37.960256850363052</v>
      </c>
      <c r="AH142" s="15">
        <f>AG143/$C$14</f>
        <v>54120.462209839825</v>
      </c>
      <c r="AI142" s="16">
        <f>(AJ141*$C$15+AJ143*(1-$C$15))*EXP(-$C$9*$C$13)</f>
        <v>25.261864052837971</v>
      </c>
      <c r="AJ142" s="15">
        <f>AI143/$C$14</f>
        <v>54120.462209839825</v>
      </c>
      <c r="AK142" s="16">
        <f>(AL141*$C$15+AL143*(1-$C$15))*EXP(-$C$9*$C$13)</f>
        <v>15.267787487129665</v>
      </c>
      <c r="AL142" s="15">
        <f>AK143/$C$14</f>
        <v>54120.462209839825</v>
      </c>
      <c r="AM142" s="16">
        <f>(AN141*$C$15+AN143*(1-$C$15))*EXP(-$C$9*$C$13)</f>
        <v>7.982512824172165</v>
      </c>
      <c r="AN142" s="15">
        <f>AM143/$C$14</f>
        <v>54120.462209839825</v>
      </c>
      <c r="AO142" s="16">
        <f>(AP141*$C$15+AP143*(1-$C$15))*EXP(-$C$9*$C$13)</f>
        <v>3.274391543827929</v>
      </c>
      <c r="AP142" s="15">
        <f>AO143/$C$14</f>
        <v>54120.462209839825</v>
      </c>
      <c r="AQ142" s="16">
        <f>(AR141*$C$15+AR143*(1-$C$15))*EXP(-$C$9*$C$13)</f>
        <v>0.81121613012283078</v>
      </c>
      <c r="AR142" s="15">
        <f>AQ143/$C$14</f>
        <v>54120.462209839825</v>
      </c>
      <c r="AS142" s="16">
        <f>(AT141*$C$15+AT143*(1-$C$15))*EXP(-$C$9*$C$13)</f>
        <v>0</v>
      </c>
      <c r="AT142" s="15">
        <f>AS143/$C$14</f>
        <v>54120.462209839825</v>
      </c>
      <c r="AU142" s="16">
        <f>(AV141*$C$15+AV143*(1-$C$15))*EXP(-$C$9*$C$13)</f>
        <v>0</v>
      </c>
      <c r="AV142" s="15">
        <f>AU143/$C$14</f>
        <v>54120.462209839825</v>
      </c>
      <c r="AW142" s="16">
        <f>(AX141*$C$15+AX143*(1-$C$15))*EXP(-$C$9*$C$13)</f>
        <v>0</v>
      </c>
      <c r="AX142" s="15">
        <f>AW143/$C$14</f>
        <v>54120.462209839825</v>
      </c>
      <c r="AY142" s="16">
        <f>(AZ141*$C$15+AZ143*(1-$C$15))*EXP(-$C$9*$C$13)</f>
        <v>0</v>
      </c>
      <c r="AZ142" s="15">
        <f>AY143/$C$14</f>
        <v>54120.462209839825</v>
      </c>
      <c r="BA142" s="16">
        <f>(BB141*$C$15+BB143*(1-$C$15))*EXP(-$C$9*$C$13)</f>
        <v>0</v>
      </c>
      <c r="BB142" s="15">
        <f>BA143/$C$14</f>
        <v>54120.462209839825</v>
      </c>
      <c r="BD142" s="23">
        <f t="shared" si="29"/>
        <v>56506.666666666744</v>
      </c>
      <c r="BE142" s="25">
        <v>384.63901603448215</v>
      </c>
      <c r="BF142" s="25">
        <v>369.16865101515805</v>
      </c>
      <c r="BG142" s="25">
        <v>353.85506131655882</v>
      </c>
      <c r="BH142" s="25">
        <v>338.70700261540475</v>
      </c>
      <c r="BI142" s="25">
        <v>323.73361556495797</v>
      </c>
      <c r="BJ142" s="25">
        <v>308.94443871654568</v>
      </c>
      <c r="BK142" s="25">
        <v>294.34942087091372</v>
      </c>
      <c r="BL142" s="25">
        <v>279.95893259897684</v>
      </c>
      <c r="BM142" s="25">
        <v>265.78377661582215</v>
      </c>
      <c r="BN142" s="25">
        <v>251.83519662583561</v>
      </c>
      <c r="BO142" s="25">
        <v>238.12488417868292</v>
      </c>
      <c r="BP142" s="25">
        <v>224.6649829835732</v>
      </c>
      <c r="BQ142" s="25">
        <v>211.46809002068056</v>
      </c>
      <c r="BR142" s="25">
        <v>198.54725266102881</v>
      </c>
      <c r="BS142" s="25">
        <v>185.91596085698234</v>
      </c>
      <c r="BT142" s="25">
        <v>173.58813329178062</v>
      </c>
      <c r="BU142" s="25">
        <v>161.57809617525248</v>
      </c>
      <c r="BV142" s="25">
        <v>149.90055314116299</v>
      </c>
      <c r="BW142" s="25">
        <v>138.57054443711462</v>
      </c>
      <c r="BX142" s="25">
        <v>127.60339329897245</v>
      </c>
      <c r="BY142" s="25">
        <v>117.01463706847795</v>
      </c>
      <c r="BZ142" s="25">
        <v>106.81994024769585</v>
      </c>
      <c r="CA142" s="25">
        <v>97.034986293938516</v>
      </c>
      <c r="CB142" s="25">
        <v>87.675344556784452</v>
      </c>
      <c r="CC142" s="25">
        <v>78.756308366800624</v>
      </c>
      <c r="CD142" s="25">
        <v>70.292699938764869</v>
      </c>
      <c r="CE142" s="25">
        <v>62.298637504180213</v>
      </c>
      <c r="CF142" s="25">
        <v>54.787260017670661</v>
      </c>
      <c r="CG142" s="25">
        <v>47.770405002553275</v>
      </c>
      <c r="CH142" s="25">
        <v>41.258235769985752</v>
      </c>
      <c r="CI142" s="25">
        <v>35.258815576882547</v>
      </c>
      <c r="CJ142" s="25">
        <v>29.777628559791282</v>
      </c>
      <c r="CK142" s="25">
        <v>24.817050847013391</v>
      </c>
      <c r="CL142" s="25">
        <v>20.375780528485869</v>
      </c>
      <c r="CM142" s="25">
        <v>16.448242610894898</v>
      </c>
      <c r="CN142" s="25">
        <v>13.023995133146034</v>
      </c>
      <c r="CO142" s="25">
        <v>10.087175529311827</v>
      </c>
      <c r="CP142" s="25">
        <v>7.6160419646841522</v>
      </c>
      <c r="CQ142" s="25">
        <v>5.5826818241519858</v>
      </c>
      <c r="CR142" s="25">
        <v>3.9529765860756556</v>
      </c>
      <c r="CS142" s="25">
        <v>2.6869248053521404</v>
      </c>
      <c r="CT142" s="25">
        <v>1.7394261402972939</v>
      </c>
      <c r="CU142" s="25">
        <v>1.0616098567926502</v>
      </c>
      <c r="CV142" s="25">
        <v>0.60273989486437529</v>
      </c>
      <c r="CW142" s="25">
        <v>0.31263584531941246</v>
      </c>
      <c r="CX142" s="25">
        <v>0.14441384231538623</v>
      </c>
      <c r="CY142" s="25">
        <v>5.7190901720313936E-2</v>
      </c>
      <c r="CZ142" s="25">
        <v>1.8257858993891193E-2</v>
      </c>
      <c r="DA142" s="25">
        <v>4.1897531977267127E-3</v>
      </c>
      <c r="DB142" s="25">
        <v>5.2006367657473794E-4</v>
      </c>
      <c r="DC142" s="44">
        <f t="shared" si="32"/>
        <v>0</v>
      </c>
      <c r="DD142" s="5">
        <f t="shared" si="31"/>
        <v>50</v>
      </c>
      <c r="DE142" s="30" cm="1">
        <f t="array" ref="DE142">1/2*(rf-q)*DD142*dt-1/2*(sigma^2)*(DD142^2)*dt</f>
        <v>-1.8919880136986298</v>
      </c>
      <c r="DF142" s="25">
        <f t="shared" si="33"/>
        <v>4.797557397260273</v>
      </c>
      <c r="DG142" s="6">
        <f t="shared" si="34"/>
        <v>-1.9053030821917805</v>
      </c>
      <c r="DH142" s="5">
        <f t="shared" si="35"/>
        <v>384.63901603448517</v>
      </c>
      <c r="DI142" s="6">
        <v>400.25777239623989</v>
      </c>
    </row>
    <row r="143" spans="14:113" x14ac:dyDescent="0.25">
      <c r="O143" s="15">
        <f>N144/$C$14</f>
        <v>52051.78379192001</v>
      </c>
      <c r="P143" s="16">
        <f>(Q142*$C$15+Q144*(1-$C$15))*EXP(-$C$9*$C$13)</f>
        <v>337.81615827633391</v>
      </c>
      <c r="Q143" s="15">
        <f>P144/$C$14</f>
        <v>52051.78379192001</v>
      </c>
      <c r="R143" s="16">
        <f>(S142*$C$15+S144*(1-$C$15))*EXP(-$C$9*$C$13)</f>
        <v>300.07132316160101</v>
      </c>
      <c r="S143" s="15">
        <f>R144/$C$14</f>
        <v>52051.78379192001</v>
      </c>
      <c r="T143" s="16">
        <f>(U142*$C$15+U144*(1-$C$15))*EXP(-$C$9*$C$13)</f>
        <v>263.56389529864089</v>
      </c>
      <c r="U143" s="15">
        <f>T144/$C$14</f>
        <v>52051.78379192001</v>
      </c>
      <c r="V143" s="16">
        <f>(W142*$C$15+W144*(1-$C$15))*EXP(-$C$9*$C$13)</f>
        <v>228.4634651070071</v>
      </c>
      <c r="W143" s="15">
        <f>V144/$C$14</f>
        <v>52051.78379192001</v>
      </c>
      <c r="X143" s="16">
        <f>(Y142*$C$15+Y144*(1-$C$15))*EXP(-$C$9*$C$13)</f>
        <v>194.95996252317875</v>
      </c>
      <c r="Y143" s="15">
        <f>X144/$C$14</f>
        <v>52051.78379192001</v>
      </c>
      <c r="Z143" s="16">
        <f>(AA142*$C$15+AA144*(1-$C$15))*EXP(-$C$9*$C$13)</f>
        <v>163.26530885712054</v>
      </c>
      <c r="AA143" s="15">
        <f>Z144/$C$14</f>
        <v>52051.78379192001</v>
      </c>
      <c r="AB143" s="16">
        <f>(AC142*$C$15+AC144*(1-$C$15))*EXP(-$C$9*$C$13)</f>
        <v>133.61451832127537</v>
      </c>
      <c r="AC143" s="15">
        <f>AB144/$C$14</f>
        <v>52051.78379192001</v>
      </c>
      <c r="AD143" s="16">
        <f>(AE142*$C$15+AE144*(1-$C$15))*EXP(-$C$9*$C$13)</f>
        <v>106.26565122386515</v>
      </c>
      <c r="AE143" s="15">
        <f>AD144/$C$14</f>
        <v>52051.78379192001</v>
      </c>
      <c r="AF143" s="16">
        <f>(AG142*$C$15+AG144*(1-$C$15))*EXP(-$C$9*$C$13)</f>
        <v>81.497590343750701</v>
      </c>
      <c r="AG143" s="15">
        <f>AF144/$C$14</f>
        <v>52051.78379192001</v>
      </c>
      <c r="AH143" s="16">
        <f>(AI142*$C$15+AI144*(1-$C$15))*EXP(-$C$9*$C$13)</f>
        <v>59.603888367992461</v>
      </c>
      <c r="AI143" s="15">
        <f>AH144/$C$14</f>
        <v>52051.78379192001</v>
      </c>
      <c r="AJ143" s="16">
        <f>(AK142*$C$15+AK144*(1-$C$15))*EXP(-$C$9*$C$13)</f>
        <v>40.879726965434052</v>
      </c>
      <c r="AK143" s="15">
        <f>AJ144/$C$14</f>
        <v>52051.78379192001</v>
      </c>
      <c r="AL143" s="16">
        <f>(AM142*$C$15+AM144*(1-$C$15))*EXP(-$C$9*$C$13)</f>
        <v>25.597053903459635</v>
      </c>
      <c r="AM143" s="15">
        <f>AL144/$C$14</f>
        <v>52051.78379192001</v>
      </c>
      <c r="AN143" s="16">
        <f>(AO142*$C$15+AO144*(1-$C$15))*EXP(-$C$9*$C$13)</f>
        <v>13.959898055184437</v>
      </c>
      <c r="AO143" s="15">
        <f>AN144/$C$14</f>
        <v>52051.78379192001</v>
      </c>
      <c r="AP143" s="16">
        <f>(AQ142*$C$15+AQ144*(1-$C$15))*EXP(-$C$9*$C$13)</f>
        <v>6.0277356998530589</v>
      </c>
      <c r="AQ143" s="15">
        <f>AP144/$C$14</f>
        <v>52051.78379192001</v>
      </c>
      <c r="AR143" s="16">
        <f>(AS142*$C$15+AS144*(1-$C$15))*EXP(-$C$9*$C$13)</f>
        <v>1.5918485215929334</v>
      </c>
      <c r="AS143" s="15">
        <f>AR144/$C$14</f>
        <v>52051.78379192001</v>
      </c>
      <c r="AT143" s="16">
        <f>(AU142*$C$15+AU144*(1-$C$15))*EXP(-$C$9*$C$13)</f>
        <v>0</v>
      </c>
      <c r="AU143" s="15">
        <f>AT144/$C$14</f>
        <v>52051.78379192001</v>
      </c>
      <c r="AV143" s="16">
        <f>(AW142*$C$15+AW144*(1-$C$15))*EXP(-$C$9*$C$13)</f>
        <v>0</v>
      </c>
      <c r="AW143" s="15">
        <f>AV144/$C$14</f>
        <v>52051.78379192001</v>
      </c>
      <c r="AX143" s="16">
        <f>(AY142*$C$15+AY144*(1-$C$15))*EXP(-$C$9*$C$13)</f>
        <v>0</v>
      </c>
      <c r="AY143" s="15">
        <f>AX144/$C$14</f>
        <v>52051.78379192001</v>
      </c>
      <c r="AZ143" s="16">
        <f>(BA142*$C$15+BA144*(1-$C$15))*EXP(-$C$9*$C$13)</f>
        <v>0</v>
      </c>
      <c r="BA143" s="15">
        <f>AZ144/$C$14</f>
        <v>52051.78379192001</v>
      </c>
      <c r="BB143" s="16">
        <f>MAX(0,$C$8-BB142)</f>
        <v>0</v>
      </c>
      <c r="BD143" s="23">
        <f t="shared" si="29"/>
        <v>55376.533333333413</v>
      </c>
      <c r="BE143" s="25">
        <v>447.48459483608156</v>
      </c>
      <c r="BF143" s="25">
        <v>430.46729647802465</v>
      </c>
      <c r="BG143" s="25">
        <v>413.58685692025529</v>
      </c>
      <c r="BH143" s="25">
        <v>396.85220363845559</v>
      </c>
      <c r="BI143" s="25">
        <v>380.27271088737041</v>
      </c>
      <c r="BJ143" s="25">
        <v>363.85822013562102</v>
      </c>
      <c r="BK143" s="25">
        <v>347.6190607493387</v>
      </c>
      <c r="BL143" s="25">
        <v>331.56607074575419</v>
      </c>
      <c r="BM143" s="25">
        <v>315.71061738778508</v>
      </c>
      <c r="BN143" s="25">
        <v>300.0646173297531</v>
      </c>
      <c r="BO143" s="25">
        <v>284.64055595033705</v>
      </c>
      <c r="BP143" s="25">
        <v>269.45150541917837</v>
      </c>
      <c r="BQ143" s="25">
        <v>254.51114093517165</v>
      </c>
      <c r="BR143" s="25">
        <v>239.83375444378666</v>
      </c>
      <c r="BS143" s="25">
        <v>225.43426498354515</v>
      </c>
      <c r="BT143" s="25">
        <v>211.32822462338549</v>
      </c>
      <c r="BU143" s="25">
        <v>197.53181872741246</v>
      </c>
      <c r="BV143" s="25">
        <v>184.06185901550805</v>
      </c>
      <c r="BW143" s="25">
        <v>170.93576757082846</v>
      </c>
      <c r="BX143" s="25">
        <v>158.17154957133599</v>
      </c>
      <c r="BY143" s="25">
        <v>145.78775208549266</v>
      </c>
      <c r="BZ143" s="25">
        <v>133.80340576605627</v>
      </c>
      <c r="CA143" s="25">
        <v>122.2379456966581</v>
      </c>
      <c r="CB143" s="25">
        <v>111.11110699337232</v>
      </c>
      <c r="CC143" s="25">
        <v>100.44279004435813</v>
      </c>
      <c r="CD143" s="25">
        <v>90.252889502181816</v>
      </c>
      <c r="CE143" s="25">
        <v>80.561080359648102</v>
      </c>
      <c r="CF143" s="25">
        <v>71.386553700336691</v>
      </c>
      <c r="CG143" s="25">
        <v>62.747694116114815</v>
      </c>
      <c r="CH143" s="25">
        <v>54.661690475444196</v>
      </c>
      <c r="CI143" s="25">
        <v>47.14407193192951</v>
      </c>
      <c r="CJ143" s="25">
        <v>40.208162105170366</v>
      </c>
      <c r="CK143" s="25">
        <v>33.86444669629207</v>
      </c>
      <c r="CL143" s="25">
        <v>28.119854024150325</v>
      </c>
      <c r="CM143" s="25">
        <v>22.976954860924781</v>
      </c>
      <c r="CN143" s="25">
        <v>18.433098436749603</v>
      </c>
      <c r="CO143" s="25">
        <v>14.47951657298664</v>
      </c>
      <c r="CP143" s="25">
        <v>11.100448457644385</v>
      </c>
      <c r="CQ143" s="25">
        <v>8.2723649194286573</v>
      </c>
      <c r="CR143" s="25">
        <v>5.9634022632346673</v>
      </c>
      <c r="CS143" s="25">
        <v>4.1331485322829735</v>
      </c>
      <c r="CT143" s="25">
        <v>2.7329523848690682</v>
      </c>
      <c r="CU143" s="25">
        <v>1.7069341753122194</v>
      </c>
      <c r="CV143" s="25">
        <v>0.99385168595226447</v>
      </c>
      <c r="CW143" s="25">
        <v>0.52988612947119151</v>
      </c>
      <c r="CX143" s="25">
        <v>0.25224681701201618</v>
      </c>
      <c r="CY143" s="25">
        <v>0.1032423651778208</v>
      </c>
      <c r="CZ143" s="25">
        <v>3.4171891885269687E-2</v>
      </c>
      <c r="DA143" s="25">
        <v>8.1586389288175343E-3</v>
      </c>
      <c r="DB143" s="25">
        <v>1.0577506159638198E-3</v>
      </c>
      <c r="DC143" s="44">
        <f t="shared" si="32"/>
        <v>0</v>
      </c>
      <c r="DD143" s="5">
        <f t="shared" si="31"/>
        <v>49</v>
      </c>
      <c r="DE143" s="30" cm="1">
        <f t="array" ref="DE143">1/2*(rf-q)*DD143*dt-1/2*(sigma^2)*(DD143^2)*dt</f>
        <v>-1.8169348006849313</v>
      </c>
      <c r="DF143" s="25">
        <f t="shared" si="33"/>
        <v>4.6471846698630133</v>
      </c>
      <c r="DG143" s="6">
        <f t="shared" si="34"/>
        <v>-1.829983567808219</v>
      </c>
      <c r="DH143" s="5">
        <f t="shared" si="35"/>
        <v>447.4845948360678</v>
      </c>
      <c r="DI143" s="6">
        <v>464.63025124967606</v>
      </c>
    </row>
    <row r="144" spans="14:113" x14ac:dyDescent="0.25">
      <c r="N144" s="15">
        <f>M145/$C$14</f>
        <v>50062.177691974393</v>
      </c>
      <c r="O144" s="16">
        <f>(P143*$C$15+P145*(1-$C$15))*EXP(-$C$9*$C$13)</f>
        <v>497.99809845204953</v>
      </c>
      <c r="P144" s="15">
        <f>O145/$C$14</f>
        <v>50062.177691974393</v>
      </c>
      <c r="Q144" s="16">
        <f>(R143*$C$15+R145*(1-$C$15))*EXP(-$C$9*$C$13)</f>
        <v>451.05844230228968</v>
      </c>
      <c r="R144" s="15">
        <f>Q145/$C$14</f>
        <v>50062.177691974393</v>
      </c>
      <c r="S144" s="16">
        <f>(T143*$C$15+T145*(1-$C$15))*EXP(-$C$9*$C$13)</f>
        <v>404.96494155957066</v>
      </c>
      <c r="T144" s="15">
        <f>S145/$C$14</f>
        <v>50062.177691974393</v>
      </c>
      <c r="U144" s="16">
        <f>(V143*$C$15+V145*(1-$C$15))*EXP(-$C$9*$C$13)</f>
        <v>359.87950454926033</v>
      </c>
      <c r="V144" s="15">
        <f>U145/$C$14</f>
        <v>50062.177691974393</v>
      </c>
      <c r="W144" s="16">
        <f>(X143*$C$15+X145*(1-$C$15))*EXP(-$C$9*$C$13)</f>
        <v>315.98965017638693</v>
      </c>
      <c r="X144" s="15">
        <f>W145/$C$14</f>
        <v>50062.177691974393</v>
      </c>
      <c r="Y144" s="16">
        <f>(Z143*$C$15+Z145*(1-$C$15))*EXP(-$C$9*$C$13)</f>
        <v>273.51279590127871</v>
      </c>
      <c r="Z144" s="15">
        <f>Y145/$C$14</f>
        <v>50062.177691974393</v>
      </c>
      <c r="AA144" s="16">
        <f>(AB143*$C$15+AB145*(1-$C$15))*EXP(-$C$9*$C$13)</f>
        <v>232.70112659499006</v>
      </c>
      <c r="AB144" s="15">
        <f>AA145/$C$14</f>
        <v>50062.177691974393</v>
      </c>
      <c r="AC144" s="16">
        <f>(AD143*$C$15+AD145*(1-$C$15))*EXP(-$C$9*$C$13)</f>
        <v>193.84694315602883</v>
      </c>
      <c r="AD144" s="15">
        <f>AC145/$C$14</f>
        <v>50062.177691974393</v>
      </c>
      <c r="AE144" s="16">
        <f>(AF143*$C$15+AF145*(1-$C$15))*EXP(-$C$9*$C$13)</f>
        <v>157.2881793135052</v>
      </c>
      <c r="AF144" s="15">
        <f>AE145/$C$14</f>
        <v>50062.177691974393</v>
      </c>
      <c r="AG144" s="16">
        <f>(AH143*$C$15+AH145*(1-$C$15))*EXP(-$C$9*$C$13)</f>
        <v>123.41335254981117</v>
      </c>
      <c r="AH144" s="15">
        <f>AG145/$C$14</f>
        <v>50062.177691974393</v>
      </c>
      <c r="AI144" s="16">
        <f>(AJ143*$C$15+AJ145*(1-$C$15))*EXP(-$C$9*$C$13)</f>
        <v>92.664379821068124</v>
      </c>
      <c r="AJ144" s="15">
        <f>AI145/$C$14</f>
        <v>50062.177691974393</v>
      </c>
      <c r="AK144" s="16">
        <f>(AL143*$C$15+AL145*(1-$C$15))*EXP(-$C$9*$C$13)</f>
        <v>65.534045525663458</v>
      </c>
      <c r="AL144" s="15">
        <f>AK145/$C$14</f>
        <v>50062.177691974393</v>
      </c>
      <c r="AM144" s="16">
        <f>(AN143*$C$15+AN145*(1-$C$15))*EXP(-$C$9*$C$13)</f>
        <v>42.551678256510449</v>
      </c>
      <c r="AN144" s="15">
        <f>AM145/$C$14</f>
        <v>50062.177691974393</v>
      </c>
      <c r="AO144" s="16">
        <f>(AP143*$C$15+AP145*(1-$C$15))*EXP(-$C$9*$C$13)</f>
        <v>24.244260088275926</v>
      </c>
      <c r="AP144" s="15">
        <f>AO145/$C$14</f>
        <v>50062.177691974393</v>
      </c>
      <c r="AQ144" s="16">
        <f>(AR143*$C$15+AR145*(1-$C$15))*EXP(-$C$9*$C$13)</f>
        <v>11.048010610150493</v>
      </c>
      <c r="AR144" s="15">
        <f>AQ145/$C$14</f>
        <v>50062.177691974393</v>
      </c>
      <c r="AS144" s="16">
        <f>(AT143*$C$15+AT145*(1-$C$15))*EXP(-$C$9*$C$13)</f>
        <v>3.1236826064022218</v>
      </c>
      <c r="AT144" s="15">
        <f>AS145/$C$14</f>
        <v>50062.177691974393</v>
      </c>
      <c r="AU144" s="16">
        <f>(AV143*$C$15+AV145*(1-$C$15))*EXP(-$C$9*$C$13)</f>
        <v>0</v>
      </c>
      <c r="AV144" s="15">
        <f>AU145/$C$14</f>
        <v>50062.177691974393</v>
      </c>
      <c r="AW144" s="16">
        <f>(AX143*$C$15+AX145*(1-$C$15))*EXP(-$C$9*$C$13)</f>
        <v>0</v>
      </c>
      <c r="AX144" s="15">
        <f>AW145/$C$14</f>
        <v>50062.177691974393</v>
      </c>
      <c r="AY144" s="16">
        <f>(AZ143*$C$15+AZ145*(1-$C$15))*EXP(-$C$9*$C$13)</f>
        <v>0</v>
      </c>
      <c r="AZ144" s="15">
        <f>AY145/$C$14</f>
        <v>50062.177691974393</v>
      </c>
      <c r="BA144" s="16">
        <f>(BB143*$C$15+BB145*(1-$C$15))*EXP(-$C$9*$C$13)</f>
        <v>0</v>
      </c>
      <c r="BB144" s="15">
        <f>BA145/$C$14</f>
        <v>50062.177691974393</v>
      </c>
      <c r="BD144" s="23">
        <f t="shared" si="29"/>
        <v>54246.400000000081</v>
      </c>
      <c r="BE144" s="25">
        <v>520.21303868842904</v>
      </c>
      <c r="BF144" s="25">
        <v>501.559879142944</v>
      </c>
      <c r="BG144" s="25">
        <v>483.01862541918712</v>
      </c>
      <c r="BH144" s="25">
        <v>464.59813343695197</v>
      </c>
      <c r="BI144" s="25">
        <v>446.30775696008493</v>
      </c>
      <c r="BJ144" s="25">
        <v>428.15737546460173</v>
      </c>
      <c r="BK144" s="25">
        <v>410.1574231789682</v>
      </c>
      <c r="BL144" s="25">
        <v>392.31891922739317</v>
      </c>
      <c r="BM144" s="25">
        <v>374.65349876846437</v>
      </c>
      <c r="BN144" s="25">
        <v>357.17344497289645</v>
      </c>
      <c r="BO144" s="25">
        <v>339.8917216228636</v>
      </c>
      <c r="BP144" s="25">
        <v>322.82200603862185</v>
      </c>
      <c r="BQ144" s="25">
        <v>305.97872194218502</v>
      </c>
      <c r="BR144" s="25">
        <v>289.37707174850664</v>
      </c>
      <c r="BS144" s="25">
        <v>273.03306762654347</v>
      </c>
      <c r="BT144" s="25">
        <v>256.96356048950616</v>
      </c>
      <c r="BU144" s="25">
        <v>241.18626584786597</v>
      </c>
      <c r="BV144" s="25">
        <v>225.7197851811936</v>
      </c>
      <c r="BW144" s="25">
        <v>210.58362114517928</v>
      </c>
      <c r="BX144" s="25">
        <v>195.79818451553729</v>
      </c>
      <c r="BY144" s="25">
        <v>181.38479026701552</v>
      </c>
      <c r="BZ144" s="25">
        <v>167.36563957751551</v>
      </c>
      <c r="CA144" s="25">
        <v>153.76378381764917</v>
      </c>
      <c r="CB144" s="25">
        <v>140.60306571793748</v>
      </c>
      <c r="CC144" s="25">
        <v>127.9080318843242</v>
      </c>
      <c r="CD144" s="25">
        <v>115.70380964780291</v>
      </c>
      <c r="CE144" s="25">
        <v>104.01593988616862</v>
      </c>
      <c r="CF144" s="25">
        <v>92.870155964462342</v>
      </c>
      <c r="CG144" s="25">
        <v>82.292097356293553</v>
      </c>
      <c r="CH144" s="25">
        <v>72.30694493219859</v>
      </c>
      <c r="CI144" s="25">
        <v>62.938963512959937</v>
      </c>
      <c r="CJ144" s="25">
        <v>54.210936381633999</v>
      </c>
      <c r="CK144" s="25">
        <v>46.143476493020366</v>
      </c>
      <c r="CL144" s="25">
        <v>38.754200813343765</v>
      </c>
      <c r="CM144" s="25">
        <v>32.056758577059121</v>
      </c>
      <c r="CN144" s="25">
        <v>26.059712655419116</v>
      </c>
      <c r="CO144" s="25">
        <v>20.765287509989871</v>
      </c>
      <c r="CP144" s="25">
        <v>16.168019525718282</v>
      </c>
      <c r="CQ144" s="25">
        <v>12.253378141557038</v>
      </c>
      <c r="CR144" s="25">
        <v>8.9964707831213975</v>
      </c>
      <c r="CS144" s="25">
        <v>6.3610008826599689</v>
      </c>
      <c r="CT144" s="25">
        <v>4.2987117611553405</v>
      </c>
      <c r="CU144" s="25">
        <v>2.7496077739205975</v>
      </c>
      <c r="CV144" s="25">
        <v>1.6432742029124496</v>
      </c>
      <c r="CW144" s="25">
        <v>0.90158073937472871</v>
      </c>
      <c r="CX144" s="25">
        <v>0.44289988675300912</v>
      </c>
      <c r="CY144" s="25">
        <v>0.1876545236211328</v>
      </c>
      <c r="CZ144" s="25">
        <v>6.4522332443767566E-2</v>
      </c>
      <c r="DA144" s="25">
        <v>1.6065393004178845E-2</v>
      </c>
      <c r="DB144" s="25">
        <v>2.1816162380759443E-3</v>
      </c>
      <c r="DC144" s="44">
        <f t="shared" si="32"/>
        <v>0</v>
      </c>
      <c r="DD144" s="5">
        <f t="shared" si="31"/>
        <v>48</v>
      </c>
      <c r="DE144" s="30" cm="1">
        <f t="array" ref="DE144">1/2*(rf-q)*DD144*dt-1/2*(sigma^2)*(DD144^2)*dt</f>
        <v>-1.7434005041095886</v>
      </c>
      <c r="DF144" s="25">
        <f t="shared" si="33"/>
        <v>4.4998497753424651</v>
      </c>
      <c r="DG144" s="6">
        <f t="shared" si="34"/>
        <v>-1.7561829698630134</v>
      </c>
      <c r="DH144" s="5">
        <f t="shared" si="35"/>
        <v>520.21303868840482</v>
      </c>
      <c r="DI144" s="6">
        <v>538.96971932302063</v>
      </c>
    </row>
    <row r="145" spans="4:113" x14ac:dyDescent="0.25">
      <c r="M145" s="15">
        <f>L146/$C$14</f>
        <v>48148.621482053015</v>
      </c>
      <c r="N145" s="16">
        <f>(O144*$C$15+O146*(1-$C$15))*EXP(-$C$9*$C$13)</f>
        <v>708.46595778335723</v>
      </c>
      <c r="O145" s="15">
        <f>N146/$C$14</f>
        <v>48148.621482053015</v>
      </c>
      <c r="P145" s="16">
        <f>(Q144*$C$15+Q146*(1-$C$15))*EXP(-$C$9*$C$13)</f>
        <v>652.3175103200748</v>
      </c>
      <c r="Q145" s="15">
        <f>P146/$C$14</f>
        <v>48148.621482053015</v>
      </c>
      <c r="R145" s="16">
        <f>(S144*$C$15+S146*(1-$C$15))*EXP(-$C$9*$C$13)</f>
        <v>596.50996655839356</v>
      </c>
      <c r="S145" s="15">
        <f>R146/$C$14</f>
        <v>48148.621482053015</v>
      </c>
      <c r="T145" s="16">
        <f>(U144*$C$15+U146*(1-$C$15))*EXP(-$C$9*$C$13)</f>
        <v>541.17272352009491</v>
      </c>
      <c r="U145" s="15">
        <f>T146/$C$14</f>
        <v>48148.621482053015</v>
      </c>
      <c r="V145" s="16">
        <f>(W144*$C$15+W146*(1-$C$15))*EXP(-$C$9*$C$13)</f>
        <v>486.46038566960488</v>
      </c>
      <c r="W145" s="15">
        <f>V146/$C$14</f>
        <v>48148.621482053015</v>
      </c>
      <c r="X145" s="16">
        <f>(Y144*$C$15+Y146*(1-$C$15))*EXP(-$C$9*$C$13)</f>
        <v>432.55825101615511</v>
      </c>
      <c r="Y145" s="15">
        <f>X146/$C$14</f>
        <v>48148.621482053015</v>
      </c>
      <c r="Z145" s="16">
        <f>(AA144*$C$15+AA146*(1-$C$15))*EXP(-$C$9*$C$13)</f>
        <v>379.68913668700191</v>
      </c>
      <c r="AA145" s="15">
        <f>Z146/$C$14</f>
        <v>48148.621482053015</v>
      </c>
      <c r="AB145" s="16">
        <f>(AC144*$C$15+AC146*(1-$C$15))*EXP(-$C$9*$C$13)</f>
        <v>328.12187365248656</v>
      </c>
      <c r="AC145" s="15">
        <f>AB146/$C$14</f>
        <v>48148.621482053015</v>
      </c>
      <c r="AD145" s="16">
        <f>(AE144*$C$15+AE146*(1-$C$15))*EXP(-$C$9*$C$13)</f>
        <v>278.18184732834476</v>
      </c>
      <c r="AE145" s="15">
        <f>AD146/$C$14</f>
        <v>48148.621482053015</v>
      </c>
      <c r="AF145" s="16">
        <f>(AG144*$C$15+AG146*(1-$C$15))*EXP(-$C$9*$C$13)</f>
        <v>230.26396182267305</v>
      </c>
      <c r="AG145" s="15">
        <f>AF146/$C$14</f>
        <v>48148.621482053015</v>
      </c>
      <c r="AH145" s="16">
        <f>(AI144*$C$15+AI146*(1-$C$15))*EXP(-$C$9*$C$13)</f>
        <v>184.84827251547497</v>
      </c>
      <c r="AI145" s="15">
        <f>AH146/$C$14</f>
        <v>48148.621482053015</v>
      </c>
      <c r="AJ145" s="16">
        <f>(AK144*$C$15+AK146*(1-$C$15))*EXP(-$C$9*$C$13)</f>
        <v>142.51805379918241</v>
      </c>
      <c r="AK145" s="15">
        <f>AJ146/$C$14</f>
        <v>48148.621482053015</v>
      </c>
      <c r="AL145" s="16">
        <f>(AM144*$C$15+AM146*(1-$C$15))*EXP(-$C$9*$C$13)</f>
        <v>103.97874301065409</v>
      </c>
      <c r="AM145" s="15">
        <f>AL146/$C$14</f>
        <v>48148.621482053015</v>
      </c>
      <c r="AN145" s="16">
        <f>(AO144*$C$15+AO146*(1-$C$15))*EXP(-$C$9*$C$13)</f>
        <v>70.072810909774944</v>
      </c>
      <c r="AO145" s="15">
        <f>AN146/$C$14</f>
        <v>48148.621482053015</v>
      </c>
      <c r="AP145" s="16">
        <f>(AQ144*$C$15+AQ146*(1-$C$15))*EXP(-$C$9*$C$13)</f>
        <v>41.777150960880377</v>
      </c>
      <c r="AQ145" s="15">
        <f>AP146/$C$14</f>
        <v>48148.621482053015</v>
      </c>
      <c r="AR145" s="16">
        <f>(AS144*$C$15+AS146*(1-$C$15))*EXP(-$C$9*$C$13)</f>
        <v>20.148496737271024</v>
      </c>
      <c r="AS145" s="15">
        <f>AR146/$C$14</f>
        <v>48148.621482053015</v>
      </c>
      <c r="AT145" s="16">
        <f>(AU144*$C$15+AU146*(1-$C$15))*EXP(-$C$9*$C$13)</f>
        <v>6.1295989493873035</v>
      </c>
      <c r="AU145" s="15">
        <f>AT146/$C$14</f>
        <v>48148.621482053015</v>
      </c>
      <c r="AV145" s="16">
        <f>(AW144*$C$15+AW146*(1-$C$15))*EXP(-$C$9*$C$13)</f>
        <v>0</v>
      </c>
      <c r="AW145" s="15">
        <f>AV146/$C$14</f>
        <v>48148.621482053015</v>
      </c>
      <c r="AX145" s="16">
        <f>(AY144*$C$15+AY146*(1-$C$15))*EXP(-$C$9*$C$13)</f>
        <v>0</v>
      </c>
      <c r="AY145" s="15">
        <f>AX146/$C$14</f>
        <v>48148.621482053015</v>
      </c>
      <c r="AZ145" s="16">
        <f>(BA144*$C$15+BA146*(1-$C$15))*EXP(-$C$9*$C$13)</f>
        <v>0</v>
      </c>
      <c r="BA145" s="15">
        <f>AZ146/$C$14</f>
        <v>48148.621482053015</v>
      </c>
      <c r="BB145" s="16">
        <f>MAX(0,$C$8-BB144)</f>
        <v>0</v>
      </c>
      <c r="BD145" s="23">
        <f t="shared" si="29"/>
        <v>53116.26666666675</v>
      </c>
      <c r="BE145" s="25">
        <v>604.25347986251836</v>
      </c>
      <c r="BF145" s="25">
        <v>583.88542764891679</v>
      </c>
      <c r="BG145" s="25">
        <v>563.59908273697283</v>
      </c>
      <c r="BH145" s="25">
        <v>543.4029447594769</v>
      </c>
      <c r="BI145" s="25">
        <v>523.30604672379081</v>
      </c>
      <c r="BJ145" s="25">
        <v>503.31798969968281</v>
      </c>
      <c r="BK145" s="25">
        <v>483.44897964928134</v>
      </c>
      <c r="BL145" s="25">
        <v>463.70986646260047</v>
      </c>
      <c r="BM145" s="25">
        <v>444.11218524098086</v>
      </c>
      <c r="BN145" s="25">
        <v>424.66819984196883</v>
      </c>
      <c r="BO145" s="25">
        <v>405.39094865954644</v>
      </c>
      <c r="BP145" s="25">
        <v>386.29429256085632</v>
      </c>
      <c r="BQ145" s="25">
        <v>367.39296483055705</v>
      </c>
      <c r="BR145" s="25">
        <v>348.70262288256617</v>
      </c>
      <c r="BS145" s="25">
        <v>330.23990138012732</v>
      </c>
      <c r="BT145" s="25">
        <v>312.02246625191566</v>
      </c>
      <c r="BU145" s="25">
        <v>294.06906889518802</v>
      </c>
      <c r="BV145" s="25">
        <v>276.39959960580342</v>
      </c>
      <c r="BW145" s="25">
        <v>259.03513895548701</v>
      </c>
      <c r="BX145" s="25">
        <v>241.99800543202539</v>
      </c>
      <c r="BY145" s="25">
        <v>225.31179714758974</v>
      </c>
      <c r="BZ145" s="25">
        <v>209.00142477898657</v>
      </c>
      <c r="CA145" s="25">
        <v>193.09313210172783</v>
      </c>
      <c r="CB145" s="25">
        <v>177.61449948232357</v>
      </c>
      <c r="CC145" s="25">
        <v>162.59442446058179</v>
      </c>
      <c r="CD145" s="25">
        <v>148.06307204263786</v>
      </c>
      <c r="CE145" s="25">
        <v>134.05178549169634</v>
      </c>
      <c r="CF145" s="25">
        <v>120.59294620778563</v>
      </c>
      <c r="CG145" s="25">
        <v>107.71976870572499</v>
      </c>
      <c r="CH145" s="25">
        <v>95.466013739650677</v>
      </c>
      <c r="CI145" s="25">
        <v>83.865599350801091</v>
      </c>
      <c r="CJ145" s="25">
        <v>72.952086205453156</v>
      </c>
      <c r="CK145" s="25">
        <v>62.758010386897716</v>
      </c>
      <c r="CL145" s="25">
        <v>53.314034425910322</v>
      </c>
      <c r="CM145" s="25">
        <v>44.6478868259249</v>
      </c>
      <c r="CN145" s="25">
        <v>36.783063283760839</v>
      </c>
      <c r="CO145" s="25">
        <v>29.737271654757336</v>
      </c>
      <c r="CP145" s="25">
        <v>23.520620909083458</v>
      </c>
      <c r="CQ145" s="25">
        <v>18.133586417969219</v>
      </c>
      <c r="CR145" s="25">
        <v>13.56483527267981</v>
      </c>
      <c r="CS145" s="25">
        <v>9.7890711440896805</v>
      </c>
      <c r="CT145" s="25">
        <v>6.7651609112568316</v>
      </c>
      <c r="CU145" s="25">
        <v>4.4349298817470597</v>
      </c>
      <c r="CV145" s="25">
        <v>2.7231384279412016</v>
      </c>
      <c r="CW145" s="25">
        <v>1.5392338122828917</v>
      </c>
      <c r="CX145" s="25">
        <v>0.78142507408861406</v>
      </c>
      <c r="CY145" s="25">
        <v>0.34334184753025299</v>
      </c>
      <c r="CZ145" s="25">
        <v>0.12289965220875559</v>
      </c>
      <c r="DA145" s="25">
        <v>3.1996191369749634E-2</v>
      </c>
      <c r="DB145" s="25">
        <v>4.5654121052660316E-3</v>
      </c>
      <c r="DC145" s="44">
        <f t="shared" si="32"/>
        <v>0</v>
      </c>
      <c r="DD145" s="5">
        <f t="shared" si="31"/>
        <v>47</v>
      </c>
      <c r="DE145" s="30" cm="1">
        <f t="array" ref="DE145">1/2*(rf-q)*DD145*dt-1/2*(sigma^2)*(DD145^2)*dt</f>
        <v>-1.6713851239726023</v>
      </c>
      <c r="DF145" s="25">
        <f t="shared" si="33"/>
        <v>4.3555527136986294</v>
      </c>
      <c r="DG145" s="6">
        <f t="shared" si="34"/>
        <v>-1.6839012883561641</v>
      </c>
      <c r="DH145" s="5">
        <f t="shared" si="35"/>
        <v>604.25347986255872</v>
      </c>
      <c r="DI145" s="6">
        <v>624.69524049613756</v>
      </c>
    </row>
    <row r="146" spans="4:113" x14ac:dyDescent="0.25">
      <c r="D146" s="65" t="s">
        <v>34</v>
      </c>
      <c r="E146" s="66"/>
      <c r="F146" s="66"/>
      <c r="G146" s="66"/>
      <c r="H146" s="67"/>
      <c r="L146" s="15">
        <f>K147/$C$14</f>
        <v>46308.208262256012</v>
      </c>
      <c r="M146" s="16">
        <f>(N145*$C$15+N147*(1-$C$15))*EXP(-$C$9*$C$13)</f>
        <v>976.07040442006246</v>
      </c>
      <c r="N146" s="15">
        <f>M147/$C$14</f>
        <v>46308.208262256012</v>
      </c>
      <c r="O146" s="16">
        <f>(P145*$C$15+P147*(1-$C$15))*EXP(-$C$9*$C$13)</f>
        <v>911.25914844379099</v>
      </c>
      <c r="P146" s="15">
        <f>O147/$C$14</f>
        <v>46308.208262256012</v>
      </c>
      <c r="Q146" s="16">
        <f>(R145*$C$15+R147*(1-$C$15))*EXP(-$C$9*$C$13)</f>
        <v>846.22456555242877</v>
      </c>
      <c r="R146" s="15">
        <f>Q147/$C$14</f>
        <v>46308.208262256012</v>
      </c>
      <c r="S146" s="16">
        <f>(T145*$C$15+T147*(1-$C$15))*EXP(-$C$9*$C$13)</f>
        <v>781.04512531172634</v>
      </c>
      <c r="T146" s="15">
        <f>S147/$C$14</f>
        <v>46308.208262256012</v>
      </c>
      <c r="U146" s="16">
        <f>(V145*$C$15+V147*(1-$C$15))*EXP(-$C$9*$C$13)</f>
        <v>715.81902374773142</v>
      </c>
      <c r="V146" s="15">
        <f>U147/$C$14</f>
        <v>46308.208262256012</v>
      </c>
      <c r="W146" s="16">
        <f>(X145*$C$15+X147*(1-$C$15))*EXP(-$C$9*$C$13)</f>
        <v>650.66928977218549</v>
      </c>
      <c r="X146" s="15">
        <f>W147/$C$14</f>
        <v>46308.208262256012</v>
      </c>
      <c r="Y146" s="16">
        <f>(Z145*$C$15+Z147*(1-$C$15))*EXP(-$C$9*$C$13)</f>
        <v>585.75042648095962</v>
      </c>
      <c r="Z146" s="15">
        <f>Y147/$C$14</f>
        <v>46308.208262256012</v>
      </c>
      <c r="AA146" s="16">
        <f>(AB145*$C$15+AB147*(1-$C$15))*EXP(-$C$9*$C$13)</f>
        <v>521.25712221860181</v>
      </c>
      <c r="AB146" s="15">
        <f>AA147/$C$14</f>
        <v>46308.208262256012</v>
      </c>
      <c r="AC146" s="16">
        <f>(AD145*$C$15+AD147*(1-$C$15))*EXP(-$C$9*$C$13)</f>
        <v>457.43577559460772</v>
      </c>
      <c r="AD146" s="15">
        <f>AC147/$C$14</f>
        <v>46308.208262256012</v>
      </c>
      <c r="AE146" s="16">
        <f>(AF145*$C$15+AF147*(1-$C$15))*EXP(-$C$9*$C$13)</f>
        <v>394.59987336464224</v>
      </c>
      <c r="AF146" s="15">
        <f>AE147/$C$14</f>
        <v>46308.208262256012</v>
      </c>
      <c r="AG146" s="16">
        <f>(AH145*$C$15+AH147*(1-$C$15))*EXP(-$C$9*$C$13)</f>
        <v>333.15066847749245</v>
      </c>
      <c r="AH146" s="15">
        <f>AG147/$C$14</f>
        <v>46308.208262256012</v>
      </c>
      <c r="AI146" s="16">
        <f>(AJ145*$C$15+AJ147*(1-$C$15))*EXP(-$C$9*$C$13)</f>
        <v>273.60514777524946</v>
      </c>
      <c r="AJ146" s="15">
        <f>AI147/$C$14</f>
        <v>46308.208262256012</v>
      </c>
      <c r="AK146" s="16">
        <f>(AL145*$C$15+AL147*(1-$C$15))*EXP(-$C$9*$C$13)</f>
        <v>216.63392154882766</v>
      </c>
      <c r="AL146" s="15">
        <f>AK147/$C$14</f>
        <v>46308.208262256012</v>
      </c>
      <c r="AM146" s="16">
        <f>(AN145*$C$15+AN147*(1-$C$15))*EXP(-$C$9*$C$13)</f>
        <v>163.1121729567034</v>
      </c>
      <c r="AN146" s="15">
        <f>AM147/$C$14</f>
        <v>46308.208262256012</v>
      </c>
      <c r="AO146" s="16">
        <f>(AP145*$C$15+AP147*(1-$C$15))*EXP(-$C$9*$C$13)</f>
        <v>114.18624251881562</v>
      </c>
      <c r="AP146" s="15">
        <f>AO147/$C$14</f>
        <v>46308.208262256012</v>
      </c>
      <c r="AQ146" s="16">
        <f>(AR145*$C$15+AR147*(1-$C$15))*EXP(-$C$9*$C$13)</f>
        <v>71.353541497821737</v>
      </c>
      <c r="AR146" s="15">
        <f>AQ147/$C$14</f>
        <v>46308.208262256012</v>
      </c>
      <c r="AS146" s="16">
        <f>(AT145*$C$15+AT147*(1-$C$15))*EXP(-$C$9*$C$13)</f>
        <v>36.53308878896204</v>
      </c>
      <c r="AT146" s="15">
        <f>AS147/$C$14</f>
        <v>46308.208262256012</v>
      </c>
      <c r="AU146" s="16">
        <f>(AV145*$C$15+AV147*(1-$C$15))*EXP(-$C$9*$C$13)</f>
        <v>12.028105289354091</v>
      </c>
      <c r="AV146" s="15">
        <f>AU147/$C$14</f>
        <v>46308.208262256012</v>
      </c>
      <c r="AW146" s="16">
        <f>(AX145*$C$15+AX147*(1-$C$15))*EXP(-$C$9*$C$13)</f>
        <v>0</v>
      </c>
      <c r="AX146" s="15">
        <f>AW147/$C$14</f>
        <v>46308.208262256012</v>
      </c>
      <c r="AY146" s="16">
        <f>(AZ145*$C$15+AZ147*(1-$C$15))*EXP(-$C$9*$C$13)</f>
        <v>0</v>
      </c>
      <c r="AZ146" s="15">
        <f>AY147/$C$14</f>
        <v>46308.208262256012</v>
      </c>
      <c r="BA146" s="16">
        <f>(BB145*$C$15+BB147*(1-$C$15))*EXP(-$C$9*$C$13)</f>
        <v>0</v>
      </c>
      <c r="BB146" s="15">
        <f>BA147/$C$14</f>
        <v>46308.208262256012</v>
      </c>
      <c r="BD146" s="23">
        <f t="shared" si="29"/>
        <v>51986.133333333419</v>
      </c>
      <c r="BE146" s="25">
        <v>701.20586419684241</v>
      </c>
      <c r="BF146" s="25">
        <v>679.05794612681439</v>
      </c>
      <c r="BG146" s="25">
        <v>656.95623833263903</v>
      </c>
      <c r="BH146" s="25">
        <v>634.90856372500627</v>
      </c>
      <c r="BI146" s="25">
        <v>612.92329371682047</v>
      </c>
      <c r="BJ146" s="25">
        <v>591.00938850563807</v>
      </c>
      <c r="BK146" s="25">
        <v>569.17644043799567</v>
      </c>
      <c r="BL146" s="25">
        <v>547.43472066496179</v>
      </c>
      <c r="BM146" s="25">
        <v>525.79522929991685</v>
      </c>
      <c r="BN146" s="25">
        <v>504.26974928669375</v>
      </c>
      <c r="BO146" s="25">
        <v>482.87090417646772</v>
      </c>
      <c r="BP146" s="25">
        <v>461.61221999344139</v>
      </c>
      <c r="BQ146" s="25">
        <v>440.5081913383072</v>
      </c>
      <c r="BR146" s="25">
        <v>419.57435183161533</v>
      </c>
      <c r="BS146" s="25">
        <v>398.82734893038872</v>
      </c>
      <c r="BT146" s="25">
        <v>378.28502305418885</v>
      </c>
      <c r="BU146" s="25">
        <v>357.96649082191044</v>
      </c>
      <c r="BV146" s="25">
        <v>337.89223201674298</v>
      </c>
      <c r="BW146" s="25">
        <v>318.08417964863219</v>
      </c>
      <c r="BX146" s="25">
        <v>298.56581215220359</v>
      </c>
      <c r="BY146" s="25">
        <v>279.36224631870408</v>
      </c>
      <c r="BZ146" s="25">
        <v>260.50032898177915</v>
      </c>
      <c r="CA146" s="25">
        <v>242.00872471895732</v>
      </c>
      <c r="CB146" s="25">
        <v>223.91799584350551</v>
      </c>
      <c r="CC146" s="25">
        <v>206.26066968239417</v>
      </c>
      <c r="CD146" s="25">
        <v>189.07128648925215</v>
      </c>
      <c r="CE146" s="25">
        <v>172.38641923411348</v>
      </c>
      <c r="CF146" s="25">
        <v>156.24465383740772</v>
      </c>
      <c r="CG146" s="25">
        <v>140.68651505456313</v>
      </c>
      <c r="CH146" s="25">
        <v>125.7543190470102</v>
      </c>
      <c r="CI146" s="25">
        <v>111.49192858835677</v>
      </c>
      <c r="CJ146" s="25">
        <v>97.944380796029577</v>
      </c>
      <c r="CK146" s="25">
        <v>85.157350310108569</v>
      </c>
      <c r="CL146" s="25">
        <v>73.176403249625039</v>
      </c>
      <c r="CM146" s="25">
        <v>62.045989751822454</v>
      </c>
      <c r="CN146" s="25">
        <v>51.80811680822567</v>
      </c>
      <c r="CO146" s="25">
        <v>42.500640896438767</v>
      </c>
      <c r="CP146" s="25">
        <v>34.15512563928764</v>
      </c>
      <c r="CQ146" s="25">
        <v>26.794229754449372</v>
      </c>
      <c r="CR146" s="25">
        <v>20.428634135006227</v>
      </c>
      <c r="CS146" s="25">
        <v>15.053596285219674</v>
      </c>
      <c r="CT146" s="25">
        <v>10.645349510287476</v>
      </c>
      <c r="CU146" s="25">
        <v>7.1577544929505397</v>
      </c>
      <c r="CV146" s="25">
        <v>4.5198605046396185</v>
      </c>
      <c r="CW146" s="25">
        <v>2.635308823939281</v>
      </c>
      <c r="CX146" s="25">
        <v>1.3847176999102764</v>
      </c>
      <c r="CY146" s="25">
        <v>0.6321416615845028</v>
      </c>
      <c r="CZ146" s="25">
        <v>0.23612181172947716</v>
      </c>
      <c r="DA146" s="25">
        <v>6.4463389376520838E-2</v>
      </c>
      <c r="DB146" s="25">
        <v>9.6993005603005639E-3</v>
      </c>
      <c r="DC146" s="44">
        <f t="shared" si="32"/>
        <v>0</v>
      </c>
      <c r="DD146" s="5">
        <f t="shared" si="31"/>
        <v>46</v>
      </c>
      <c r="DE146" s="30" cm="1">
        <f t="array" ref="DE146">1/2*(rf-q)*DD146*dt-1/2*(sigma^2)*(DD146^2)*dt</f>
        <v>-1.6008886602739725</v>
      </c>
      <c r="DF146" s="25">
        <f t="shared" si="33"/>
        <v>4.214293484931507</v>
      </c>
      <c r="DG146" s="6">
        <f t="shared" si="34"/>
        <v>-1.6131385232876709</v>
      </c>
      <c r="DH146" s="5">
        <f t="shared" si="35"/>
        <v>701.20586419683036</v>
      </c>
      <c r="DI146" s="6">
        <v>723.39268072954064</v>
      </c>
    </row>
    <row r="147" spans="4:113" x14ac:dyDescent="0.25">
      <c r="D147" s="60" t="s">
        <v>13</v>
      </c>
      <c r="E147" s="61"/>
      <c r="F147" s="61"/>
      <c r="G147" s="61">
        <f>D155</f>
        <v>6251.0725947357669</v>
      </c>
      <c r="H147" s="62"/>
      <c r="K147" s="15">
        <f>J148/$C$14</f>
        <v>44538.142244836672</v>
      </c>
      <c r="L147" s="16">
        <f>(M146*$C$15+M148*(1-$C$15))*EXP(-$C$9*$C$13)</f>
        <v>1306.3481536480685</v>
      </c>
      <c r="M147" s="15">
        <f>L148/$C$14</f>
        <v>44538.142244836672</v>
      </c>
      <c r="N147" s="16">
        <f>(O146*$C$15+O148*(1-$C$15))*EXP(-$C$9*$C$13)</f>
        <v>1233.9560383693117</v>
      </c>
      <c r="O147" s="15">
        <f>N148/$C$14</f>
        <v>44538.142244836672</v>
      </c>
      <c r="P147" s="16">
        <f>(Q146*$C$15+Q148*(1-$C$15))*EXP(-$C$9*$C$13)</f>
        <v>1160.7792340826622</v>
      </c>
      <c r="Q147" s="15">
        <f>P148/$C$14</f>
        <v>44538.142244836672</v>
      </c>
      <c r="R147" s="16">
        <f>(S146*$C$15+S148*(1-$C$15))*EXP(-$C$9*$C$13)</f>
        <v>1086.836322497792</v>
      </c>
      <c r="S147" s="15">
        <f>R148/$C$14</f>
        <v>44538.142244836672</v>
      </c>
      <c r="T147" s="16">
        <f>(U146*$C$15+U148*(1-$C$15))*EXP(-$C$9*$C$13)</f>
        <v>1012.1568333544989</v>
      </c>
      <c r="U147" s="15">
        <f>T148/$C$14</f>
        <v>44538.142244836672</v>
      </c>
      <c r="V147" s="16">
        <f>(W146*$C$15+W148*(1-$C$15))*EXP(-$C$9*$C$13)</f>
        <v>936.78476168030306</v>
      </c>
      <c r="W147" s="15">
        <f>V148/$C$14</f>
        <v>44538.142244836672</v>
      </c>
      <c r="X147" s="16">
        <f>(Y146*$C$15+Y148*(1-$C$15))*EXP(-$C$9*$C$13)</f>
        <v>860.78331171976004</v>
      </c>
      <c r="Y147" s="15">
        <f>X148/$C$14</f>
        <v>44538.142244836672</v>
      </c>
      <c r="Z147" s="16">
        <f>(AA146*$C$15+AA148*(1-$C$15))*EXP(-$C$9*$C$13)</f>
        <v>784.24136447179285</v>
      </c>
      <c r="AA147" s="15">
        <f>Z148/$C$14</f>
        <v>44538.142244836672</v>
      </c>
      <c r="AB147" s="16">
        <f>(AC146*$C$15+AC148*(1-$C$15))*EXP(-$C$9*$C$13)</f>
        <v>707.28240137592547</v>
      </c>
      <c r="AC147" s="15">
        <f>AB148/$C$14</f>
        <v>44538.142244836672</v>
      </c>
      <c r="AD147" s="16">
        <f>(AE146*$C$15+AE148*(1-$C$15))*EXP(-$C$9*$C$13)</f>
        <v>630.07698213642402</v>
      </c>
      <c r="AE147" s="15">
        <f>AD148/$C$14</f>
        <v>44538.142244836672</v>
      </c>
      <c r="AF147" s="16">
        <f>(AG146*$C$15+AG148*(1-$C$15))*EXP(-$C$9*$C$13)</f>
        <v>552.86045201484296</v>
      </c>
      <c r="AG147" s="15">
        <f>AF148/$C$14</f>
        <v>44538.142244836672</v>
      </c>
      <c r="AH147" s="16">
        <f>(AI146*$C$15+AI148*(1-$C$15))*EXP(-$C$9*$C$13)</f>
        <v>475.95848329264408</v>
      </c>
      <c r="AI147" s="15">
        <f>AH148/$C$14</f>
        <v>44538.142244836672</v>
      </c>
      <c r="AJ147" s="16">
        <f>(AK146*$C$15+AK148*(1-$C$15))*EXP(-$C$9*$C$13)</f>
        <v>399.82457913196509</v>
      </c>
      <c r="AK147" s="15">
        <f>AJ148/$C$14</f>
        <v>44538.142244836672</v>
      </c>
      <c r="AL147" s="16">
        <f>(AM146*$C$15+AM148*(1-$C$15))*EXP(-$C$9*$C$13)</f>
        <v>325.0962043819315</v>
      </c>
      <c r="AM147" s="15">
        <f>AL148/$C$14</f>
        <v>44538.142244836672</v>
      </c>
      <c r="AN147" s="16">
        <f>(AO146*$C$15+AO148*(1-$C$15))*EXP(-$C$9*$C$13)</f>
        <v>252.68046149161074</v>
      </c>
      <c r="AO147" s="15">
        <f>AN148/$C$14</f>
        <v>44538.142244836672</v>
      </c>
      <c r="AP147" s="16">
        <f>(AQ146*$C$15+AQ148*(1-$C$15))*EXP(-$C$9*$C$13)</f>
        <v>183.88726011683326</v>
      </c>
      <c r="AQ147" s="15">
        <f>AP148/$C$14</f>
        <v>44538.142244836672</v>
      </c>
      <c r="AR147" s="16">
        <f>(AS146*$C$15+AS148*(1-$C$15))*EXP(-$C$9*$C$13)</f>
        <v>120.63862731317667</v>
      </c>
      <c r="AS147" s="15">
        <f>AR148/$C$14</f>
        <v>44538.142244836672</v>
      </c>
      <c r="AT147" s="16">
        <f>(AU146*$C$15+AU148*(1-$C$15))*EXP(-$C$9*$C$13)</f>
        <v>65.79353635931561</v>
      </c>
      <c r="AU147" s="15">
        <f>AT148/$C$14</f>
        <v>44538.142244836672</v>
      </c>
      <c r="AV147" s="16">
        <f>(AW146*$C$15+AW148*(1-$C$15))*EXP(-$C$9*$C$13)</f>
        <v>23.602737804934069</v>
      </c>
      <c r="AW147" s="15">
        <f>AV148/$C$14</f>
        <v>44538.142244836672</v>
      </c>
      <c r="AX147" s="16">
        <f>(AY146*$C$15+AY148*(1-$C$15))*EXP(-$C$9*$C$13)</f>
        <v>0</v>
      </c>
      <c r="AY147" s="15">
        <f>AX148/$C$14</f>
        <v>44538.142244836672</v>
      </c>
      <c r="AZ147" s="16">
        <f>(BA146*$C$15+BA148*(1-$C$15))*EXP(-$C$9*$C$13)</f>
        <v>0</v>
      </c>
      <c r="BA147" s="15">
        <f>AZ148/$C$14</f>
        <v>44538.142244836672</v>
      </c>
      <c r="BB147" s="16">
        <f>MAX(0,$C$8-BB146)</f>
        <v>0</v>
      </c>
      <c r="BD147" s="23">
        <f t="shared" si="29"/>
        <v>50856.000000000087</v>
      </c>
      <c r="BE147" s="25">
        <v>812.85152743486799</v>
      </c>
      <c r="BF147" s="25">
        <v>788.87757452019378</v>
      </c>
      <c r="BG147" s="25">
        <v>764.90918431715806</v>
      </c>
      <c r="BH147" s="25">
        <v>740.95315651385272</v>
      </c>
      <c r="BI147" s="25">
        <v>717.01682947267886</v>
      </c>
      <c r="BJ147" s="25">
        <v>693.10812423177833</v>
      </c>
      <c r="BK147" s="25">
        <v>669.23559240508359</v>
      </c>
      <c r="BL147" s="25">
        <v>645.4084683362812</v>
      </c>
      <c r="BM147" s="25">
        <v>621.6367258895142</v>
      </c>
      <c r="BN147" s="25">
        <v>597.93114028705384</v>
      </c>
      <c r="BO147" s="25">
        <v>574.30335543028195</v>
      </c>
      <c r="BP147" s="25">
        <v>550.76595716400345</v>
      </c>
      <c r="BQ147" s="25">
        <v>527.33255296274092</v>
      </c>
      <c r="BR147" s="25">
        <v>504.01785852901503</v>
      </c>
      <c r="BS147" s="25">
        <v>480.8377917930635</v>
      </c>
      <c r="BT147" s="25">
        <v>457.80957478638538</v>
      </c>
      <c r="BU147" s="25">
        <v>434.95184381938321</v>
      </c>
      <c r="BV147" s="25">
        <v>412.28476831747383</v>
      </c>
      <c r="BW147" s="25">
        <v>389.83017854581971</v>
      </c>
      <c r="BX147" s="25">
        <v>367.6117022627659</v>
      </c>
      <c r="BY147" s="25">
        <v>345.65491006123602</v>
      </c>
      <c r="BZ147" s="25">
        <v>323.98746875359967</v>
      </c>
      <c r="CA147" s="25">
        <v>302.63930158498499</v>
      </c>
      <c r="CB147" s="25">
        <v>281.6427532651058</v>
      </c>
      <c r="CC147" s="25">
        <v>261.03275671290862</v>
      </c>
      <c r="CD147" s="25">
        <v>240.84699691164604</v>
      </c>
      <c r="CE147" s="25">
        <v>221.12606524359177</v>
      </c>
      <c r="CF147" s="25">
        <v>201.9135949454338</v>
      </c>
      <c r="CG147" s="25">
        <v>183.25636468443452</v>
      </c>
      <c r="CH147" s="25">
        <v>165.20435243765507</v>
      </c>
      <c r="CI147" s="25">
        <v>147.81071554625169</v>
      </c>
      <c r="CJ147" s="25">
        <v>131.13166465688823</v>
      </c>
      <c r="CK147" s="25">
        <v>115.22618888734308</v>
      </c>
      <c r="CL147" s="25">
        <v>100.15557666704443</v>
      </c>
      <c r="CM147" s="25">
        <v>85.982661232167473</v>
      </c>
      <c r="CN147" s="25">
        <v>72.77070213463098</v>
      </c>
      <c r="CO147" s="25">
        <v>60.581795798130088</v>
      </c>
      <c r="CP147" s="25">
        <v>49.474692394039707</v>
      </c>
      <c r="CQ147" s="25">
        <v>39.501889485521481</v>
      </c>
      <c r="CR147" s="25">
        <v>30.705886258944645</v>
      </c>
      <c r="CS147" s="25">
        <v>23.11453406339141</v>
      </c>
      <c r="CT147" s="25">
        <v>16.735536690184929</v>
      </c>
      <c r="CU147" s="25">
        <v>11.550373139804982</v>
      </c>
      <c r="CV147" s="25">
        <v>7.5082737791273413</v>
      </c>
      <c r="CW147" s="25">
        <v>4.5213948529387444</v>
      </c>
      <c r="CX147" s="25">
        <v>2.4629559365473663</v>
      </c>
      <c r="CY147" s="25">
        <v>1.1706315122770887</v>
      </c>
      <c r="CZ147" s="25">
        <v>0.45747657421411403</v>
      </c>
      <c r="DA147" s="25">
        <v>0.13139830249311921</v>
      </c>
      <c r="DB147" s="25">
        <v>2.0932784322425822E-2</v>
      </c>
      <c r="DC147" s="44">
        <f t="shared" si="32"/>
        <v>0</v>
      </c>
      <c r="DD147" s="5">
        <f t="shared" si="31"/>
        <v>45</v>
      </c>
      <c r="DE147" s="30" cm="1">
        <f t="array" ref="DE147">1/2*(rf-q)*DD147*dt-1/2*(sigma^2)*(DD147^2)*dt</f>
        <v>-1.5319111130136982</v>
      </c>
      <c r="DF147" s="25">
        <f t="shared" si="33"/>
        <v>4.0760720890410953</v>
      </c>
      <c r="DG147" s="6">
        <f t="shared" si="34"/>
        <v>-1.5438946746575342</v>
      </c>
      <c r="DH147" s="5">
        <f t="shared" si="35"/>
        <v>812.85152743491381</v>
      </c>
      <c r="DI147" s="6">
        <v>836.82474161617688</v>
      </c>
    </row>
    <row r="148" spans="4:113" x14ac:dyDescent="0.25">
      <c r="J148" s="15">
        <f>I149/$C$14</f>
        <v>42835.734507095935</v>
      </c>
      <c r="K148" s="16">
        <f>(L147*$C$15+L149*(1-$C$15))*EXP(-$C$9*$C$13)</f>
        <v>1703.1202455530067</v>
      </c>
      <c r="L148" s="15">
        <f>K149/$C$14</f>
        <v>42835.734507095935</v>
      </c>
      <c r="M148" s="16">
        <f>(N147*$C$15+N149*(1-$C$15))*EXP(-$C$9*$C$13)</f>
        <v>1624.684059412348</v>
      </c>
      <c r="N148" s="15">
        <f>M149/$C$14</f>
        <v>42835.734507095935</v>
      </c>
      <c r="O148" s="16">
        <f>(P147*$C$15+P149*(1-$C$15))*EXP(-$C$9*$C$13)</f>
        <v>1544.963028101211</v>
      </c>
      <c r="P148" s="15">
        <f>O149/$C$14</f>
        <v>42835.734507095935</v>
      </c>
      <c r="Q148" s="16">
        <f>(R147*$C$15+R149*(1-$C$15))*EXP(-$C$9*$C$13)</f>
        <v>1463.9169929697182</v>
      </c>
      <c r="R148" s="15">
        <f>Q149/$C$14</f>
        <v>42835.734507095935</v>
      </c>
      <c r="S148" s="16">
        <f>(T147*$C$15+T149*(1-$C$15))*EXP(-$C$9*$C$13)</f>
        <v>1381.5069467092035</v>
      </c>
      <c r="T148" s="15">
        <f>S149/$C$14</f>
        <v>42835.734507095935</v>
      </c>
      <c r="U148" s="16">
        <f>(V147*$C$15+V149*(1-$C$15))*EXP(-$C$9*$C$13)</f>
        <v>1297.6963928743558</v>
      </c>
      <c r="V148" s="15">
        <f>U149/$C$14</f>
        <v>42835.734507095935</v>
      </c>
      <c r="W148" s="16">
        <f>(X147*$C$15+X149*(1-$C$15))*EXP(-$C$9*$C$13)</f>
        <v>1212.4533365544557</v>
      </c>
      <c r="X148" s="15">
        <f>W149/$C$14</f>
        <v>42835.734507095935</v>
      </c>
      <c r="Y148" s="16">
        <f>(Z147*$C$15+Z149*(1-$C$15))*EXP(-$C$9*$C$13)</f>
        <v>1125.7532059364985</v>
      </c>
      <c r="Z148" s="15">
        <f>Y149/$C$14</f>
        <v>42835.734507095935</v>
      </c>
      <c r="AA148" s="16">
        <f>(AB147*$C$15+AB149*(1-$C$15))*EXP(-$C$9*$C$13)</f>
        <v>1037.5831654502254</v>
      </c>
      <c r="AB148" s="15">
        <f>AA149/$C$14</f>
        <v>42835.734507095935</v>
      </c>
      <c r="AC148" s="16">
        <f>(AD147*$C$15+AD149*(1-$C$15))*EXP(-$C$9*$C$13)</f>
        <v>947.94854221905928</v>
      </c>
      <c r="AD148" s="15">
        <f>AC149/$C$14</f>
        <v>42835.734507095935</v>
      </c>
      <c r="AE148" s="16">
        <f>(AF147*$C$15+AF149*(1-$C$15))*EXP(-$C$9*$C$13)</f>
        <v>856.88252119734318</v>
      </c>
      <c r="AF148" s="15">
        <f>AE149/$C$14</f>
        <v>42835.734507095935</v>
      </c>
      <c r="AG148" s="16">
        <f>(AH147*$C$15+AH149*(1-$C$15))*EXP(-$C$9*$C$13)</f>
        <v>764.46100451332234</v>
      </c>
      <c r="AH148" s="15">
        <f>AG149/$C$14</f>
        <v>42835.734507095935</v>
      </c>
      <c r="AI148" s="16">
        <f>(AJ147*$C$15+AJ149*(1-$C$15))*EXP(-$C$9*$C$13)</f>
        <v>670.82583277895617</v>
      </c>
      <c r="AJ148" s="15">
        <f>AI149/$C$14</f>
        <v>42835.734507095935</v>
      </c>
      <c r="AK148" s="16">
        <f>(AL147*$C$15+AL149*(1-$C$15))*EXP(-$C$9*$C$13)</f>
        <v>576.22193759409095</v>
      </c>
      <c r="AL148" s="15">
        <f>AK149/$C$14</f>
        <v>42835.734507095935</v>
      </c>
      <c r="AM148" s="16">
        <f>(AN147*$C$15+AN149*(1-$C$15))*EXP(-$C$9*$C$13)</f>
        <v>481.05848501707686</v>
      </c>
      <c r="AN148" s="15">
        <f>AM149/$C$14</f>
        <v>42835.734507095935</v>
      </c>
      <c r="AO148" s="16">
        <f>(AP147*$C$15+AP149*(1-$C$15))*EXP(-$C$9*$C$13)</f>
        <v>386.01295791927089</v>
      </c>
      <c r="AP148" s="15">
        <f>AO149/$C$14</f>
        <v>42835.734507095935</v>
      </c>
      <c r="AQ148" s="16">
        <f>(AR147*$C$15+AR149*(1-$C$15))*EXP(-$C$9*$C$13)</f>
        <v>292.21561575346209</v>
      </c>
      <c r="AR148" s="15">
        <f>AQ149/$C$14</f>
        <v>42835.734507095935</v>
      </c>
      <c r="AS148" s="16">
        <f>(AT147*$C$15+AT149*(1-$C$15))*EXP(-$C$9*$C$13)</f>
        <v>201.59238299915742</v>
      </c>
      <c r="AT148" s="15">
        <f>AS149/$C$14</f>
        <v>42835.734507095935</v>
      </c>
      <c r="AU148" s="16">
        <f>(AV147*$C$15+AV149*(1-$C$15))*EXP(-$C$9*$C$13)</f>
        <v>117.53823625921848</v>
      </c>
      <c r="AV148" s="15">
        <f>AU149/$C$14</f>
        <v>42835.734507095935</v>
      </c>
      <c r="AW148" s="16">
        <f>(AX147*$C$15+AX149*(1-$C$15))*EXP(-$C$9*$C$13)</f>
        <v>46.315626483710268</v>
      </c>
      <c r="AX148" s="15">
        <f>AW149/$C$14</f>
        <v>42835.734507095935</v>
      </c>
      <c r="AY148" s="16">
        <f>(AZ147*$C$15+AZ149*(1-$C$15))*EXP(-$C$9*$C$13)</f>
        <v>0</v>
      </c>
      <c r="AZ148" s="15">
        <f>AY149/$C$14</f>
        <v>42835.734507095935</v>
      </c>
      <c r="BA148" s="16">
        <f>(BB147*$C$15+BB149*(1-$C$15))*EXP(-$C$9*$C$13)</f>
        <v>0</v>
      </c>
      <c r="BB148" s="15">
        <f>BA149/$C$14</f>
        <v>42835.734507095935</v>
      </c>
      <c r="BD148" s="23">
        <f t="shared" si="29"/>
        <v>49725.866666666756</v>
      </c>
      <c r="BE148" s="25">
        <v>941.16155772441311</v>
      </c>
      <c r="BF148" s="25">
        <v>915.33948682399</v>
      </c>
      <c r="BG148" s="25">
        <v>889.47757537122254</v>
      </c>
      <c r="BH148" s="25">
        <v>863.58124137386574</v>
      </c>
      <c r="BI148" s="25">
        <v>837.65640297961284</v>
      </c>
      <c r="BJ148" s="25">
        <v>811.70952368832138</v>
      </c>
      <c r="BK148" s="25">
        <v>785.74766205472827</v>
      </c>
      <c r="BL148" s="25">
        <v>759.77852636613636</v>
      </c>
      <c r="BM148" s="25">
        <v>733.81053483324263</v>
      </c>
      <c r="BN148" s="25">
        <v>707.85288189102857</v>
      </c>
      <c r="BO148" s="25">
        <v>681.91561127053467</v>
      </c>
      <c r="BP148" s="25">
        <v>656.00969657155144</v>
      </c>
      <c r="BQ148" s="25">
        <v>630.14713013987569</v>
      </c>
      <c r="BR148" s="25">
        <v>604.34102113033191</v>
      </c>
      <c r="BS148" s="25">
        <v>578.60570371626932</v>
      </c>
      <c r="BT148" s="25">
        <v>552.956856485402</v>
      </c>
      <c r="BU148" s="25">
        <v>527.41163413614913</v>
      </c>
      <c r="BV148" s="25">
        <v>501.98881265256119</v>
      </c>
      <c r="BW148" s="25">
        <v>476.70894917967087</v>
      </c>
      <c r="BX148" s="25">
        <v>451.59455783263229</v>
      </c>
      <c r="BY148" s="25">
        <v>426.67030263220761</v>
      </c>
      <c r="BZ148" s="25">
        <v>401.96320864056634</v>
      </c>
      <c r="CA148" s="25">
        <v>377.50289213608318</v>
      </c>
      <c r="CB148" s="25">
        <v>353.32181026096816</v>
      </c>
      <c r="CC148" s="25">
        <v>329.45552992592155</v>
      </c>
      <c r="CD148" s="25">
        <v>305.94301475749171</v>
      </c>
      <c r="CE148" s="25">
        <v>282.82692738108813</v>
      </c>
      <c r="CF148" s="25">
        <v>260.15394214568624</v>
      </c>
      <c r="CG148" s="25">
        <v>237.97506024069372</v>
      </c>
      <c r="CH148" s="25">
        <v>216.34591465891455</v>
      </c>
      <c r="CI148" s="25">
        <v>195.32704612270081</v>
      </c>
      <c r="CJ148" s="25">
        <v>174.9841222570102</v>
      </c>
      <c r="CK148" s="25">
        <v>155.38806012262859</v>
      </c>
      <c r="CL148" s="25">
        <v>136.61499568521526</v>
      </c>
      <c r="CM148" s="25">
        <v>118.74602171643451</v>
      </c>
      <c r="CN148" s="25">
        <v>101.86658684229928</v>
      </c>
      <c r="CO148" s="25">
        <v>86.065412211660302</v>
      </c>
      <c r="CP148" s="25">
        <v>71.432739001201909</v>
      </c>
      <c r="CQ148" s="25">
        <v>58.057672897840767</v>
      </c>
      <c r="CR148" s="25">
        <v>46.024349477876989</v>
      </c>
      <c r="CS148" s="25">
        <v>35.406625656550219</v>
      </c>
      <c r="CT148" s="25">
        <v>26.261042235161415</v>
      </c>
      <c r="CU148" s="25">
        <v>18.617960603305686</v>
      </c>
      <c r="CV148" s="25">
        <v>12.471142489550116</v>
      </c>
      <c r="CW148" s="25">
        <v>7.7667274991378115</v>
      </c>
      <c r="CX148" s="25">
        <v>4.3936597216602644</v>
      </c>
      <c r="CY148" s="25">
        <v>2.1790701080559369</v>
      </c>
      <c r="CZ148" s="25">
        <v>0.8934996121574097</v>
      </c>
      <c r="DA148" s="25">
        <v>0.27098927732008465</v>
      </c>
      <c r="DB148" s="25">
        <v>4.5922272400662205E-2</v>
      </c>
      <c r="DC148" s="44">
        <f t="shared" si="32"/>
        <v>0</v>
      </c>
      <c r="DD148" s="5">
        <f t="shared" si="31"/>
        <v>44</v>
      </c>
      <c r="DE148" s="30" cm="1">
        <f t="array" ref="DE148">1/2*(rf-q)*DD148*dt-1/2*(sigma^2)*(DD148^2)*dt</f>
        <v>-1.4644524821917806</v>
      </c>
      <c r="DF148" s="25">
        <f t="shared" si="33"/>
        <v>3.9408885260273969</v>
      </c>
      <c r="DG148" s="6">
        <f t="shared" si="34"/>
        <v>-1.4761697424657532</v>
      </c>
      <c r="DH148" s="5">
        <f t="shared" si="35"/>
        <v>941.16155772444768</v>
      </c>
      <c r="DI148" s="6">
        <v>966.93882904679344</v>
      </c>
    </row>
    <row r="149" spans="4:113" x14ac:dyDescent="0.25">
      <c r="I149" s="15">
        <f>H150/$C$14</f>
        <v>41198.398906616501</v>
      </c>
      <c r="J149" s="16">
        <f>(K148*$C$15+K150*(1-$C$15))*EXP(-$C$9*$C$13)</f>
        <v>2168.2289288325842</v>
      </c>
      <c r="K149" s="15">
        <f>J150/$C$14</f>
        <v>41198.398906616501</v>
      </c>
      <c r="L149" s="16">
        <f>(M148*$C$15+M150*(1-$C$15))*EXP(-$C$9*$C$13)</f>
        <v>2085.6161521934737</v>
      </c>
      <c r="M149" s="15">
        <f>L150/$C$14</f>
        <v>41198.398906616501</v>
      </c>
      <c r="N149" s="16">
        <f>(O148*$C$15+O150*(1-$C$15))*EXP(-$C$9*$C$13)</f>
        <v>2001.3259389014465</v>
      </c>
      <c r="O149" s="15">
        <f>N150/$C$14</f>
        <v>41198.398906616501</v>
      </c>
      <c r="P149" s="16">
        <f>(Q148*$C$15+Q150*(1-$C$15))*EXP(-$C$9*$C$13)</f>
        <v>1915.2691707179933</v>
      </c>
      <c r="Q149" s="15">
        <f>P150/$C$14</f>
        <v>41198.398906616501</v>
      </c>
      <c r="R149" s="16">
        <f>(S148*$C$15+S150*(1-$C$15))*EXP(-$C$9*$C$13)</f>
        <v>1827.3491729185466</v>
      </c>
      <c r="S149" s="15">
        <f>R150/$C$14</f>
        <v>41198.398906616501</v>
      </c>
      <c r="T149" s="16">
        <f>(U148*$C$15+U150*(1-$C$15))*EXP(-$C$9*$C$13)</f>
        <v>1737.4610004970343</v>
      </c>
      <c r="U149" s="15">
        <f>T150/$C$14</f>
        <v>41198.398906616501</v>
      </c>
      <c r="V149" s="16">
        <f>(W148*$C$15+W150*(1-$C$15))*EXP(-$C$9*$C$13)</f>
        <v>1645.4907231393104</v>
      </c>
      <c r="W149" s="15">
        <f>V150/$C$14</f>
        <v>41198.398906616501</v>
      </c>
      <c r="X149" s="16">
        <f>(Y148*$C$15+Y150*(1-$C$15))*EXP(-$C$9*$C$13)</f>
        <v>1551.3147689158384</v>
      </c>
      <c r="Y149" s="15">
        <f>X150/$C$14</f>
        <v>41198.398906616501</v>
      </c>
      <c r="Z149" s="16">
        <f>(AA148*$C$15+AA150*(1-$C$15))*EXP(-$C$9*$C$13)</f>
        <v>1454.7994369369706</v>
      </c>
      <c r="AA149" s="15">
        <f>Z150/$C$14</f>
        <v>41198.398906616501</v>
      </c>
      <c r="AB149" s="16">
        <f>(AC148*$C$15+AC150*(1-$C$15))*EXP(-$C$9*$C$13)</f>
        <v>1355.8007784418087</v>
      </c>
      <c r="AC149" s="15">
        <f>AB150/$C$14</f>
        <v>41198.398906616501</v>
      </c>
      <c r="AD149" s="16">
        <f>(AE148*$C$15+AE150*(1-$C$15))*EXP(-$C$9*$C$13)</f>
        <v>1254.1652065389258</v>
      </c>
      <c r="AE149" s="15">
        <f>AD150/$C$14</f>
        <v>41198.398906616501</v>
      </c>
      <c r="AF149" s="16">
        <f>(AG148*$C$15+AG150*(1-$C$15))*EXP(-$C$9*$C$13)</f>
        <v>1149.7314905072906</v>
      </c>
      <c r="AG149" s="15">
        <f>AF150/$C$14</f>
        <v>41198.398906616501</v>
      </c>
      <c r="AH149" s="16">
        <f>(AI148*$C$15+AI150*(1-$C$15))*EXP(-$C$9*$C$13)</f>
        <v>1042.3353490924933</v>
      </c>
      <c r="AI149" s="15">
        <f>AH150/$C$14</f>
        <v>41198.398906616501</v>
      </c>
      <c r="AJ149" s="16">
        <f>(AK148*$C$15+AK150*(1-$C$15))*EXP(-$C$9*$C$13)</f>
        <v>931.81894732896694</v>
      </c>
      <c r="AK149" s="15">
        <f>AJ150/$C$14</f>
        <v>41198.398906616501</v>
      </c>
      <c r="AL149" s="16">
        <f>(AM148*$C$15+AM150*(1-$C$15))*EXP(-$C$9*$C$13)</f>
        <v>818.04981557281644</v>
      </c>
      <c r="AM149" s="15">
        <f>AL150/$C$14</f>
        <v>41198.398906616501</v>
      </c>
      <c r="AN149" s="16">
        <f>(AO148*$C$15+AO150*(1-$C$15))*EXP(-$C$9*$C$13)</f>
        <v>700.95843019519987</v>
      </c>
      <c r="AO149" s="15">
        <f>AN150/$C$14</f>
        <v>41198.398906616501</v>
      </c>
      <c r="AP149" s="16">
        <f>(AQ148*$C$15+AQ150*(1-$C$15))*EXP(-$C$9*$C$13)</f>
        <v>580.61437488608283</v>
      </c>
      <c r="AQ149" s="15">
        <f>AP150/$C$14</f>
        <v>41198.398906616501</v>
      </c>
      <c r="AR149" s="16">
        <f>(AS148*$C$15+AS150*(1-$C$15))*EXP(-$C$9*$C$13)</f>
        <v>457.38699624957081</v>
      </c>
      <c r="AS149" s="15">
        <f>AR150/$C$14</f>
        <v>41198.398906616501</v>
      </c>
      <c r="AT149" s="16">
        <f>(AU148*$C$15+AU150*(1-$C$15))*EXP(-$C$9*$C$13)</f>
        <v>332.30584072444367</v>
      </c>
      <c r="AU149" s="15">
        <f>AT150/$C$14</f>
        <v>41198.398906616501</v>
      </c>
      <c r="AV149" s="16">
        <f>(AW148*$C$15+AW150*(1-$C$15))*EXP(-$C$9*$C$13)</f>
        <v>207.94459557273274</v>
      </c>
      <c r="AW149" s="15">
        <f>AV150/$C$14</f>
        <v>41198.398906616501</v>
      </c>
      <c r="AX149" s="16">
        <f>(AY148*$C$15+AY150*(1-$C$15))*EXP(-$C$9*$C$13)</f>
        <v>90.885103004030782</v>
      </c>
      <c r="AY149" s="15">
        <f>AX150/$C$14</f>
        <v>41198.398906616501</v>
      </c>
      <c r="AZ149" s="16">
        <f>(BA148*$C$15+BA150*(1-$C$15))*EXP(-$C$9*$C$13)</f>
        <v>0</v>
      </c>
      <c r="BA149" s="15">
        <f>AZ150/$C$14</f>
        <v>41198.398906616501</v>
      </c>
      <c r="BB149" s="16">
        <f>MAX(0,$C$8-BB148)</f>
        <v>0</v>
      </c>
      <c r="BD149" s="23">
        <f t="shared" si="29"/>
        <v>48595.733333333425</v>
      </c>
      <c r="BE149" s="25">
        <v>1088.3019330531265</v>
      </c>
      <c r="BF149" s="25">
        <v>1060.6394666572176</v>
      </c>
      <c r="BG149" s="25">
        <v>1032.8876862417626</v>
      </c>
      <c r="BH149" s="25">
        <v>1005.0502765443298</v>
      </c>
      <c r="BI149" s="25">
        <v>977.13135281756195</v>
      </c>
      <c r="BJ149" s="25">
        <v>949.13550420377567</v>
      </c>
      <c r="BK149" s="25">
        <v>921.06784186664777</v>
      </c>
      <c r="BL149" s="25">
        <v>892.93405245811846</v>
      </c>
      <c r="BM149" s="25">
        <v>864.74045757524175</v>
      </c>
      <c r="BN149" s="25">
        <v>836.49407994857904</v>
      </c>
      <c r="BO149" s="25">
        <v>808.20271720205892</v>
      </c>
      <c r="BP149" s="25">
        <v>779.87502413641664</v>
      </c>
      <c r="BQ149" s="25">
        <v>751.5206046146252</v>
      </c>
      <c r="BR149" s="25">
        <v>723.15011427070021</v>
      </c>
      <c r="BS149" s="25">
        <v>694.77537542376695</v>
      </c>
      <c r="BT149" s="25">
        <v>666.40950575872</v>
      </c>
      <c r="BU149" s="25">
        <v>638.06706253356833</v>
      </c>
      <c r="BV149" s="25">
        <v>609.76420429204586</v>
      </c>
      <c r="BW149" s="25">
        <v>581.5188722956741</v>
      </c>
      <c r="BX149" s="25">
        <v>553.35099413904868</v>
      </c>
      <c r="BY149" s="25">
        <v>525.28271226726952</v>
      </c>
      <c r="BZ149" s="25">
        <v>497.3386403623731</v>
      </c>
      <c r="CA149" s="25">
        <v>469.54615078423586</v>
      </c>
      <c r="CB149" s="25">
        <v>441.93569640678652</v>
      </c>
      <c r="CC149" s="25">
        <v>414.54117022851847</v>
      </c>
      <c r="CD149" s="25">
        <v>387.40030597724888</v>
      </c>
      <c r="CE149" s="25">
        <v>360.55512245005173</v>
      </c>
      <c r="CF149" s="25">
        <v>334.05241334900154</v>
      </c>
      <c r="CG149" s="25">
        <v>307.94428262222306</v>
      </c>
      <c r="CH149" s="25">
        <v>282.28872240271528</v>
      </c>
      <c r="CI149" s="25">
        <v>257.15022597767012</v>
      </c>
      <c r="CJ149" s="25">
        <v>232.60042098568115</v>
      </c>
      <c r="CK149" s="25">
        <v>208.71869703897897</v>
      </c>
      <c r="CL149" s="25">
        <v>185.59278553089993</v>
      </c>
      <c r="CM149" s="25">
        <v>163.31922522049283</v>
      </c>
      <c r="CN149" s="25">
        <v>142.00361224446087</v>
      </c>
      <c r="CO149" s="25">
        <v>121.76048368823636</v>
      </c>
      <c r="CP149" s="25">
        <v>102.71261547503407</v>
      </c>
      <c r="CQ149" s="25">
        <v>84.989424360184245</v>
      </c>
      <c r="CR149" s="25">
        <v>68.72404952123334</v>
      </c>
      <c r="CS149" s="25">
        <v>54.048559258166968</v>
      </c>
      <c r="CT149" s="25">
        <v>41.086609001292693</v>
      </c>
      <c r="CU149" s="25">
        <v>29.942831208323</v>
      </c>
      <c r="CV149" s="25">
        <v>20.68839285802008</v>
      </c>
      <c r="CW149" s="25">
        <v>13.342734930928231</v>
      </c>
      <c r="CX149" s="25">
        <v>7.8528406934272184</v>
      </c>
      <c r="CY149" s="25">
        <v>4.0738241961666235</v>
      </c>
      <c r="CZ149" s="25">
        <v>1.7582543966503503</v>
      </c>
      <c r="DA149" s="25">
        <v>0.56543320659712104</v>
      </c>
      <c r="DB149" s="25">
        <v>0.10247803556311941</v>
      </c>
      <c r="DC149" s="44">
        <f t="shared" si="32"/>
        <v>0</v>
      </c>
      <c r="DD149" s="5">
        <f t="shared" si="31"/>
        <v>43</v>
      </c>
      <c r="DE149" s="30" cm="1">
        <f t="array" ref="DE149">1/2*(rf-q)*DD149*dt-1/2*(sigma^2)*(DD149^2)*dt</f>
        <v>-1.398512767808219</v>
      </c>
      <c r="DF149" s="25">
        <f t="shared" si="33"/>
        <v>3.8087427958904105</v>
      </c>
      <c r="DG149" s="6">
        <f t="shared" si="34"/>
        <v>-1.4099637267123286</v>
      </c>
      <c r="DH149" s="5">
        <f t="shared" si="35"/>
        <v>1088.3019330529853</v>
      </c>
      <c r="DI149" s="6">
        <v>1115.8717920776501</v>
      </c>
    </row>
    <row r="150" spans="4:113" x14ac:dyDescent="0.25">
      <c r="H150" s="15">
        <f>G151/$C$14</f>
        <v>39623.648152631373</v>
      </c>
      <c r="I150" s="16">
        <f>(J149*$C$15+J151*(1-$C$15))*EXP(-$C$9*$C$13)</f>
        <v>2701.4319078907529</v>
      </c>
      <c r="J150" s="15">
        <f>I151/$C$14</f>
        <v>39623.648152631373</v>
      </c>
      <c r="K150" s="16">
        <f>(L149*$C$15+L151*(1-$C$15))*EXP(-$C$9*$C$13)</f>
        <v>2616.6923730979906</v>
      </c>
      <c r="L150" s="15">
        <f>K151/$C$14</f>
        <v>39623.648152631373</v>
      </c>
      <c r="M150" s="16">
        <f>(N149*$C$15+N151*(1-$C$15))*EXP(-$C$9*$C$13)</f>
        <v>2530.0194856245489</v>
      </c>
      <c r="N150" s="15">
        <f>M151/$C$14</f>
        <v>39623.648152631373</v>
      </c>
      <c r="O150" s="16">
        <f>(P149*$C$15+P151*(1-$C$15))*EXP(-$C$9*$C$13)</f>
        <v>2441.2906998226149</v>
      </c>
      <c r="P150" s="15">
        <f>O151/$C$14</f>
        <v>39623.648152631373</v>
      </c>
      <c r="Q150" s="16">
        <f>(R149*$C$15+R151*(1-$C$15))*EXP(-$C$9*$C$13)</f>
        <v>2350.3697627126608</v>
      </c>
      <c r="R150" s="15">
        <f>Q151/$C$14</f>
        <v>39623.648152631373</v>
      </c>
      <c r="S150" s="16">
        <f>(T149*$C$15+T151*(1-$C$15))*EXP(-$C$9*$C$13)</f>
        <v>2257.1044858980454</v>
      </c>
      <c r="T150" s="15">
        <f>S151/$C$14</f>
        <v>39623.648152631373</v>
      </c>
      <c r="U150" s="16">
        <f>(V149*$C$15+V151*(1-$C$15))*EXP(-$C$9*$C$13)</f>
        <v>2161.3240373286712</v>
      </c>
      <c r="V150" s="15">
        <f>U151/$C$14</f>
        <v>39623.648152631373</v>
      </c>
      <c r="W150" s="16">
        <f>(X149*$C$15+X151*(1-$C$15))*EXP(-$C$9*$C$13)</f>
        <v>2062.8356236244954</v>
      </c>
      <c r="X150" s="15">
        <f>W151/$C$14</f>
        <v>39623.648152631373</v>
      </c>
      <c r="Y150" s="16">
        <f>(Z149*$C$15+Z151*(1-$C$15))*EXP(-$C$9*$C$13)</f>
        <v>1961.4203923139166</v>
      </c>
      <c r="Z150" s="15">
        <f>Y151/$C$14</f>
        <v>39623.648152631373</v>
      </c>
      <c r="AA150" s="16">
        <f>(AB149*$C$15+AB151*(1-$C$15))*EXP(-$C$9*$C$13)</f>
        <v>1856.8283272366243</v>
      </c>
      <c r="AB150" s="15">
        <f>AA151/$C$14</f>
        <v>39623.648152631373</v>
      </c>
      <c r="AC150" s="16">
        <f>(AD149*$C$15+AD151*(1-$C$15))*EXP(-$C$9*$C$13)</f>
        <v>1748.7718343954987</v>
      </c>
      <c r="AD150" s="15">
        <f>AC151/$C$14</f>
        <v>39623.648152631373</v>
      </c>
      <c r="AE150" s="16">
        <f>(AF149*$C$15+AF151*(1-$C$15))*EXP(-$C$9*$C$13)</f>
        <v>1636.9176138958819</v>
      </c>
      <c r="AF150" s="15">
        <f>AE151/$C$14</f>
        <v>39623.648152631373</v>
      </c>
      <c r="AG150" s="16">
        <f>(AH149*$C$15+AH151*(1-$C$15))*EXP(-$C$9*$C$13)</f>
        <v>1520.8762819945609</v>
      </c>
      <c r="AH150" s="15">
        <f>AG151/$C$14</f>
        <v>39623.648152631373</v>
      </c>
      <c r="AI150" s="16">
        <f>(AJ149*$C$15+AJ151*(1-$C$15))*EXP(-$C$9*$C$13)</f>
        <v>1400.1890508119479</v>
      </c>
      <c r="AJ150" s="15">
        <f>AI151/$C$14</f>
        <v>39623.648152631373</v>
      </c>
      <c r="AK150" s="16">
        <f>(AL149*$C$15+AL151*(1-$C$15))*EXP(-$C$9*$C$13)</f>
        <v>1274.3106315338562</v>
      </c>
      <c r="AL150" s="15">
        <f>AK151/$C$14</f>
        <v>39623.648152631373</v>
      </c>
      <c r="AM150" s="16">
        <f>(AN149*$C$15+AN151*(1-$C$15))*EXP(-$C$9*$C$13)</f>
        <v>1142.5875528612526</v>
      </c>
      <c r="AN150" s="15">
        <f>AM151/$C$14</f>
        <v>39623.648152631373</v>
      </c>
      <c r="AO150" s="16">
        <f>(AP149*$C$15+AP151*(1-$C$15))*EXP(-$C$9*$C$13)</f>
        <v>1004.231801610482</v>
      </c>
      <c r="AP150" s="15">
        <f>AO151/$C$14</f>
        <v>39623.648152631373</v>
      </c>
      <c r="AQ150" s="16">
        <f>(AR149*$C$15+AR151*(1-$C$15))*EXP(-$C$9*$C$13)</f>
        <v>858.29286490235177</v>
      </c>
      <c r="AR150" s="15">
        <f>AQ151/$C$14</f>
        <v>39623.648152631373</v>
      </c>
      <c r="AS150" s="16">
        <f>(AT149*$C$15+AT151*(1-$C$15))*EXP(-$C$9*$C$13)</f>
        <v>703.64320244292912</v>
      </c>
      <c r="AT150" s="15">
        <f>AS151/$C$14</f>
        <v>39623.648152631373</v>
      </c>
      <c r="AU150" s="16">
        <f>(AV149*$C$15+AV151*(1-$C$15))*EXP(-$C$9*$C$13)</f>
        <v>539.0378836734202</v>
      </c>
      <c r="AV150" s="15">
        <f>AU151/$C$14</f>
        <v>39623.648152631373</v>
      </c>
      <c r="AW150" s="16">
        <f>(AX149*$C$15+AX151*(1-$C$15))*EXP(-$C$9*$C$13)</f>
        <v>363.50417469709942</v>
      </c>
      <c r="AX150" s="15">
        <f>AW151/$C$14</f>
        <v>39623.648152631373</v>
      </c>
      <c r="AY150" s="16">
        <f>(AZ149*$C$15+AZ151*(1-$C$15))*EXP(-$C$9*$C$13)</f>
        <v>178.34373785181242</v>
      </c>
      <c r="AZ150" s="15">
        <f>AY151/$C$14</f>
        <v>39623.648152631373</v>
      </c>
      <c r="BA150" s="16">
        <f>(BB149*$C$15+BB151*(1-$C$15))*EXP(-$C$9*$C$13)</f>
        <v>0</v>
      </c>
      <c r="BB150" s="15">
        <f>BA151/$C$14</f>
        <v>39623.648152631373</v>
      </c>
      <c r="BD150" s="23">
        <f t="shared" si="29"/>
        <v>47465.600000000093</v>
      </c>
      <c r="BE150" s="25">
        <v>1256.6342358099434</v>
      </c>
      <c r="BF150" s="25">
        <v>1227.1749009960736</v>
      </c>
      <c r="BG150" s="25">
        <v>1197.5737218475865</v>
      </c>
      <c r="BH150" s="25">
        <v>1167.8323285039519</v>
      </c>
      <c r="BI150" s="25">
        <v>1137.9526804916807</v>
      </c>
      <c r="BJ150" s="25">
        <v>1107.9371048533169</v>
      </c>
      <c r="BK150" s="25">
        <v>1077.7883388893999</v>
      </c>
      <c r="BL150" s="25">
        <v>1047.5095781317605</v>
      </c>
      <c r="BM150" s="25">
        <v>1017.1045302583433</v>
      </c>
      <c r="BN150" s="25">
        <v>986.57747576685597</v>
      </c>
      <c r="BO150" s="25">
        <v>955.93333634763951</v>
      </c>
      <c r="BP150" s="25">
        <v>925.1777520416731</v>
      </c>
      <c r="BQ150" s="25">
        <v>894.31716843710467</v>
      </c>
      <c r="BR150" s="25">
        <v>863.35893535412583</v>
      </c>
      <c r="BS150" s="25">
        <v>832.31141869664577</v>
      </c>
      <c r="BT150" s="25">
        <v>801.18412741601162</v>
      </c>
      <c r="BU150" s="25">
        <v>769.98785784220343</v>
      </c>
      <c r="BV150" s="25">
        <v>738.7348580000272</v>
      </c>
      <c r="BW150" s="25">
        <v>707.43901494693307</v>
      </c>
      <c r="BX150" s="25">
        <v>676.11606865474187</v>
      </c>
      <c r="BY150" s="25">
        <v>644.78385651628207</v>
      </c>
      <c r="BZ150" s="25">
        <v>613.46259319635794</v>
      </c>
      <c r="CA150" s="25">
        <v>582.17519126831382</v>
      </c>
      <c r="CB150" s="25">
        <v>550.94762888075456</v>
      </c>
      <c r="CC150" s="25">
        <v>519.80937157236724</v>
      </c>
      <c r="CD150" s="25">
        <v>488.79385626835892</v>
      </c>
      <c r="CE150" s="25">
        <v>457.93904639350575</v>
      </c>
      <c r="CF150" s="25">
        <v>427.28806782403217</v>
      </c>
      <c r="CG150" s="25">
        <v>396.88993589862508</v>
      </c>
      <c r="CH150" s="25">
        <v>366.80038362989671</v>
      </c>
      <c r="CI150" s="25">
        <v>337.08280012941475</v>
      </c>
      <c r="CJ150" s="25">
        <v>307.80928532603048</v>
      </c>
      <c r="CK150" s="25">
        <v>279.06182112197104</v>
      </c>
      <c r="CL150" s="25">
        <v>250.93354832110612</v>
      </c>
      <c r="CM150" s="25">
        <v>223.53012008811061</v>
      </c>
      <c r="CN150" s="25">
        <v>196.97107196125694</v>
      </c>
      <c r="CO150" s="25">
        <v>171.39109900968688</v>
      </c>
      <c r="CP150" s="25">
        <v>146.94105317902788</v>
      </c>
      <c r="CQ150" s="25">
        <v>123.78835530087466</v>
      </c>
      <c r="CR150" s="25">
        <v>102.11634047129337</v>
      </c>
      <c r="CS150" s="25">
        <v>82.121805738340484</v>
      </c>
      <c r="CT150" s="25">
        <v>64.009696526418224</v>
      </c>
      <c r="CU150" s="25">
        <v>47.983473747213964</v>
      </c>
      <c r="CV150" s="25">
        <v>34.229343404386533</v>
      </c>
      <c r="CW150" s="25">
        <v>22.892462292925398</v>
      </c>
      <c r="CX150" s="25">
        <v>14.044008634951268</v>
      </c>
      <c r="CY150" s="25">
        <v>7.6406055045852224</v>
      </c>
      <c r="CZ150" s="25">
        <v>3.4833457578622391</v>
      </c>
      <c r="DA150" s="25">
        <v>1.1934296230517873</v>
      </c>
      <c r="DB150" s="25">
        <v>0.23279282742055557</v>
      </c>
      <c r="DC150" s="44">
        <f t="shared" si="32"/>
        <v>0</v>
      </c>
      <c r="DD150" s="5">
        <f t="shared" si="31"/>
        <v>42</v>
      </c>
      <c r="DE150" s="30" cm="1">
        <f t="array" ref="DE150">1/2*(rf-q)*DD150*dt-1/2*(sigma^2)*(DD150^2)*dt</f>
        <v>-1.3340919698630134</v>
      </c>
      <c r="DF150" s="25">
        <f t="shared" si="33"/>
        <v>3.6796348986301366</v>
      </c>
      <c r="DG150" s="6">
        <f t="shared" si="34"/>
        <v>-1.3452766273972598</v>
      </c>
      <c r="DH150" s="5">
        <f t="shared" si="35"/>
        <v>1256.6342358098707</v>
      </c>
      <c r="DI150" s="6">
        <v>1285.9503914811846</v>
      </c>
    </row>
    <row r="151" spans="4:113" x14ac:dyDescent="0.25">
      <c r="G151" s="15">
        <f>F152/$C$14</f>
        <v>38109.090027558785</v>
      </c>
      <c r="H151" s="16">
        <f>(I150*$C$15+I152*(1-$C$15))*EXP(-$C$9*$C$13)</f>
        <v>3300.4523116378905</v>
      </c>
      <c r="I151" s="15">
        <f>H152/$C$14</f>
        <v>38109.090027558785</v>
      </c>
      <c r="J151" s="16">
        <f>(K150*$C$15+K152*(1-$C$15))*EXP(-$C$9*$C$13)</f>
        <v>3215.6654344069902</v>
      </c>
      <c r="K151" s="15">
        <f>J152/$C$14</f>
        <v>38109.090027558785</v>
      </c>
      <c r="L151" s="16">
        <f>(M150*$C$15+M152*(1-$C$15))*EXP(-$C$9*$C$13)</f>
        <v>3128.8361579544035</v>
      </c>
      <c r="M151" s="15">
        <f>L152/$C$14</f>
        <v>38109.090027558785</v>
      </c>
      <c r="N151" s="16">
        <f>(O150*$C$15+O152*(1-$C$15))*EXP(-$C$9*$C$13)</f>
        <v>3039.8263846591317</v>
      </c>
      <c r="O151" s="15">
        <f>N152/$C$14</f>
        <v>38109.090027558785</v>
      </c>
      <c r="P151" s="16">
        <f>(Q150*$C$15+Q152*(1-$C$15))*EXP(-$C$9*$C$13)</f>
        <v>2948.4813551503994</v>
      </c>
      <c r="Q151" s="15">
        <f>P152/$C$14</f>
        <v>38109.090027558785</v>
      </c>
      <c r="R151" s="16">
        <f>(S150*$C$15+S152*(1-$C$15))*EXP(-$C$9*$C$13)</f>
        <v>2854.6266798254846</v>
      </c>
      <c r="S151" s="15">
        <f>R152/$C$14</f>
        <v>38109.090027558785</v>
      </c>
      <c r="T151" s="16">
        <f>(U150*$C$15+U152*(1-$C$15))*EXP(-$C$9*$C$13)</f>
        <v>2758.064653191801</v>
      </c>
      <c r="U151" s="15">
        <f>T152/$C$14</f>
        <v>38109.090027558785</v>
      </c>
      <c r="V151" s="16">
        <f>(W150*$C$15+W152*(1-$C$15))*EXP(-$C$9*$C$13)</f>
        <v>2658.5696271933821</v>
      </c>
      <c r="W151" s="15">
        <f>V152/$C$14</f>
        <v>38109.090027558785</v>
      </c>
      <c r="X151" s="16">
        <f>(Y150*$C$15+Y152*(1-$C$15))*EXP(-$C$9*$C$13)</f>
        <v>2555.8821321588503</v>
      </c>
      <c r="Y151" s="15">
        <f>X152/$C$14</f>
        <v>38109.090027558785</v>
      </c>
      <c r="Z151" s="16">
        <f>(AA150*$C$15+AA152*(1-$C$15))*EXP(-$C$9*$C$13)</f>
        <v>2449.701304484945</v>
      </c>
      <c r="AA151" s="15">
        <f>Z152/$C$14</f>
        <v>38109.090027558785</v>
      </c>
      <c r="AB151" s="16">
        <f>(AC150*$C$15+AC152*(1-$C$15))*EXP(-$C$9*$C$13)</f>
        <v>2339.6749842570775</v>
      </c>
      <c r="AC151" s="15">
        <f>AB152/$C$14</f>
        <v>38109.090027558785</v>
      </c>
      <c r="AD151" s="16">
        <f>(AE150*$C$15+AE152*(1-$C$15))*EXP(-$C$9*$C$13)</f>
        <v>2225.386542339309</v>
      </c>
      <c r="AE151" s="15">
        <f>AD152/$C$14</f>
        <v>38109.090027558785</v>
      </c>
      <c r="AF151" s="16">
        <f>(AG150*$C$15+AG152*(1-$C$15))*EXP(-$C$9*$C$13)</f>
        <v>2106.337012618123</v>
      </c>
      <c r="AG151" s="15">
        <f>AF152/$C$14</f>
        <v>38109.090027558785</v>
      </c>
      <c r="AH151" s="16">
        <f>(AI150*$C$15+AI152*(1-$C$15))*EXP(-$C$9*$C$13)</f>
        <v>1981.9203096365898</v>
      </c>
      <c r="AI151" s="15">
        <f>AH152/$C$14</f>
        <v>38109.090027558785</v>
      </c>
      <c r="AJ151" s="16">
        <f>(AK150*$C$15+AK152*(1-$C$15))*EXP(-$C$9*$C$13)</f>
        <v>1851.3879563886294</v>
      </c>
      <c r="AK151" s="15">
        <f>AJ152/$C$14</f>
        <v>38109.090027558785</v>
      </c>
      <c r="AL151" s="16">
        <f>(AM150*$C$15+AM152*(1-$C$15))*EXP(-$C$9*$C$13)</f>
        <v>1713.7973394111702</v>
      </c>
      <c r="AM151" s="15">
        <f>AL152/$C$14</f>
        <v>38109.090027558785</v>
      </c>
      <c r="AN151" s="16">
        <f>(AO150*$C$15+AO152*(1-$C$15))*EXP(-$C$9*$C$13)</f>
        <v>1567.933018877578</v>
      </c>
      <c r="AO151" s="15">
        <f>AN152/$C$14</f>
        <v>38109.090027558785</v>
      </c>
      <c r="AP151" s="16">
        <f>(AQ150*$C$15+AQ152*(1-$C$15))*EXP(-$C$9*$C$13)</f>
        <v>1412.1817534311858</v>
      </c>
      <c r="AQ151" s="15">
        <f>AP152/$C$14</f>
        <v>38109.090027558785</v>
      </c>
      <c r="AR151" s="16">
        <f>(AS150*$C$15+AS152*(1-$C$15))*EXP(-$C$9*$C$13)</f>
        <v>1244.3231238420881</v>
      </c>
      <c r="AS151" s="15">
        <f>AR152/$C$14</f>
        <v>38109.090027558785</v>
      </c>
      <c r="AT151" s="16">
        <f>(AU150*$C$15+AU152*(1-$C$15))*EXP(-$C$9*$C$13)</f>
        <v>1061.1543655526245</v>
      </c>
      <c r="AU151" s="15">
        <f>AT152/$C$14</f>
        <v>38109.090027558785</v>
      </c>
      <c r="AV151" s="16">
        <f>(AW150*$C$15+AW152*(1-$C$15))*EXP(-$C$9*$C$13)</f>
        <v>857.7572410014543</v>
      </c>
      <c r="AW151" s="15">
        <f>AV152/$C$14</f>
        <v>38109.090027558785</v>
      </c>
      <c r="AX151" s="16">
        <f>(AY150*$C$15+AY152*(1-$C$15))*EXP(-$C$9*$C$13)</f>
        <v>625.8926949666369</v>
      </c>
      <c r="AY151" s="15">
        <f>AX152/$C$14</f>
        <v>38109.090027558785</v>
      </c>
      <c r="AZ151" s="16">
        <f>(BA150*$C$15+BA152*(1-$C$15))*EXP(-$C$9*$C$13)</f>
        <v>349.96372100216865</v>
      </c>
      <c r="BA151" s="15">
        <f>AZ152/$C$14</f>
        <v>38109.090027558785</v>
      </c>
      <c r="BB151" s="16">
        <f>MAX(0,$C$8-BB150)</f>
        <v>0</v>
      </c>
      <c r="BD151" s="23">
        <f t="shared" si="29"/>
        <v>46335.466666666762</v>
      </c>
      <c r="BE151" s="25">
        <v>1448.7105667943595</v>
      </c>
      <c r="BF151" s="25">
        <v>1417.5397414210895</v>
      </c>
      <c r="BG151" s="25">
        <v>1386.1728507752618</v>
      </c>
      <c r="BH151" s="25">
        <v>1354.6092065986606</v>
      </c>
      <c r="BI151" s="25">
        <v>1322.8483195295159</v>
      </c>
      <c r="BJ151" s="25">
        <v>1290.8899284917675</v>
      </c>
      <c r="BK151" s="25">
        <v>1258.7340340893668</v>
      </c>
      <c r="BL151" s="25">
        <v>1226.3809365958007</v>
      </c>
      <c r="BM151" s="25">
        <v>1193.8312792252734</v>
      </c>
      <c r="BN151" s="25">
        <v>1161.0860974858592</v>
      </c>
      <c r="BO151" s="25">
        <v>1128.1468755491055</v>
      </c>
      <c r="BP151" s="25">
        <v>1095.0156107303296</v>
      </c>
      <c r="BQ151" s="25">
        <v>1061.6948873629856</v>
      </c>
      <c r="BR151" s="25">
        <v>1028.1879615760906</v>
      </c>
      <c r="BS151" s="25">
        <v>994.49885875256984</v>
      </c>
      <c r="BT151" s="25">
        <v>960.63248576878482</v>
      </c>
      <c r="BU151" s="25">
        <v>926.59476049920352</v>
      </c>
      <c r="BV151" s="25">
        <v>892.39276153440494</v>
      </c>
      <c r="BW151" s="25">
        <v>858.03490161494631</v>
      </c>
      <c r="BX151" s="25">
        <v>823.53112895266918</v>
      </c>
      <c r="BY151" s="25">
        <v>788.89316141623522</v>
      </c>
      <c r="BZ151" s="25">
        <v>754.13475952740055</v>
      </c>
      <c r="CA151" s="25">
        <v>719.27204538299009</v>
      </c>
      <c r="CB151" s="25">
        <v>684.32387602176334</v>
      </c>
      <c r="CC151" s="25">
        <v>649.31228143958731</v>
      </c>
      <c r="CD151" s="25">
        <v>614.2629794660661</v>
      </c>
      <c r="CE151" s="25">
        <v>579.20598209570539</v>
      </c>
      <c r="CF151" s="25">
        <v>544.17631065225896</v>
      </c>
      <c r="CG151" s="25">
        <v>509.21484036458071</v>
      </c>
      <c r="CH151" s="25">
        <v>474.3692985010959</v>
      </c>
      <c r="CI151" s="25">
        <v>439.69544399601841</v>
      </c>
      <c r="CJ151" s="25">
        <v>405.2584601545866</v>
      </c>
      <c r="CK151" s="25">
        <v>371.13459484959753</v>
      </c>
      <c r="CL151" s="25">
        <v>337.41308330433344</v>
      </c>
      <c r="CM151" s="25">
        <v>304.19838473194096</v>
      </c>
      <c r="CN151" s="25">
        <v>271.61275161432098</v>
      </c>
      <c r="CO151" s="25">
        <v>239.79912212352849</v>
      </c>
      <c r="CP151" s="25">
        <v>208.92427012309909</v>
      </c>
      <c r="CQ151" s="25">
        <v>179.18204364475284</v>
      </c>
      <c r="CR151" s="25">
        <v>150.79634040512033</v>
      </c>
      <c r="CS151" s="25">
        <v>124.0231603443093</v>
      </c>
      <c r="CT151" s="25">
        <v>99.150574054674962</v>
      </c>
      <c r="CU151" s="25">
        <v>76.494673887562413</v>
      </c>
      <c r="CV151" s="25">
        <v>56.388475895292572</v>
      </c>
      <c r="CW151" s="25">
        <v>39.159388007470923</v>
      </c>
      <c r="CX151" s="25">
        <v>25.089706330456242</v>
      </c>
      <c r="CY151" s="25">
        <v>14.354986658223623</v>
      </c>
      <c r="CZ151" s="25">
        <v>6.9400556002687015</v>
      </c>
      <c r="DA151" s="25">
        <v>2.5469971052741283</v>
      </c>
      <c r="DB151" s="25">
        <v>0.53874194739118175</v>
      </c>
      <c r="DC151" s="44">
        <f t="shared" si="32"/>
        <v>0</v>
      </c>
      <c r="DD151" s="5">
        <f t="shared" si="31"/>
        <v>41</v>
      </c>
      <c r="DE151" s="30" cm="1">
        <f t="array" ref="DE151">1/2*(rf-q)*DD151*dt-1/2*(sigma^2)*(DD151^2)*dt</f>
        <v>-1.271190088356164</v>
      </c>
      <c r="DF151" s="25">
        <f t="shared" si="33"/>
        <v>3.5535648342465747</v>
      </c>
      <c r="DG151" s="6">
        <f t="shared" si="34"/>
        <v>-1.2821084445205477</v>
      </c>
      <c r="DH151" s="5">
        <f t="shared" si="35"/>
        <v>1448.7105667941412</v>
      </c>
      <c r="DI151" s="6">
        <v>1479.6861881569696</v>
      </c>
    </row>
    <row r="152" spans="4:113" x14ac:dyDescent="0.25">
      <c r="F152" s="15">
        <f>E153/$C$14</f>
        <v>36652.423752963652</v>
      </c>
      <c r="G152" s="16">
        <f>(H151*$C$15+H153*(1-$C$15))*EXP(-$C$9*$C$13)</f>
        <v>3961.1654124727429</v>
      </c>
      <c r="H152" s="15">
        <f>G153/$C$14</f>
        <v>36652.423752963652</v>
      </c>
      <c r="I152" s="16">
        <f>(J151*$C$15+J153*(1-$C$15))*EXP(-$C$9*$C$13)</f>
        <v>3878.3004686690992</v>
      </c>
      <c r="J152" s="15">
        <f>I153/$C$14</f>
        <v>36652.423752963652</v>
      </c>
      <c r="K152" s="16">
        <f>(L151*$C$15+L153*(1-$C$15))*EXP(-$C$9*$C$13)</f>
        <v>3793.4237580217336</v>
      </c>
      <c r="L152" s="15">
        <f>K153/$C$14</f>
        <v>36652.423752963652</v>
      </c>
      <c r="M152" s="16">
        <f>(N151*$C$15+N153*(1-$C$15))*EXP(-$C$9*$C$13)</f>
        <v>3706.3987026221348</v>
      </c>
      <c r="N152" s="15">
        <f>M153/$C$14</f>
        <v>36652.423752963652</v>
      </c>
      <c r="O152" s="16">
        <f>(P151*$C$15+P153*(1-$C$15))*EXP(-$C$9*$C$13)</f>
        <v>3617.0721751732995</v>
      </c>
      <c r="P152" s="15">
        <f>O153/$C$14</f>
        <v>36652.423752963652</v>
      </c>
      <c r="Q152" s="16">
        <f>(R151*$C$15+R153*(1-$C$15))*EXP(-$C$9*$C$13)</f>
        <v>3525.2715364331998</v>
      </c>
      <c r="R152" s="15">
        <f>Q153/$C$14</f>
        <v>36652.423752963652</v>
      </c>
      <c r="S152" s="16">
        <f>(T151*$C$15+T153*(1-$C$15))*EXP(-$C$9*$C$13)</f>
        <v>3430.8009530854551</v>
      </c>
      <c r="T152" s="15">
        <f>S153/$C$14</f>
        <v>36652.423752963652</v>
      </c>
      <c r="U152" s="16">
        <f>(V151*$C$15+V153*(1-$C$15))*EXP(-$C$9*$C$13)</f>
        <v>3333.4367700946696</v>
      </c>
      <c r="V152" s="15">
        <f>U153/$C$14</f>
        <v>36652.423752963652</v>
      </c>
      <c r="W152" s="16">
        <f>(X151*$C$15+X153*(1-$C$15))*EXP(-$C$9*$C$13)</f>
        <v>3232.9216226530525</v>
      </c>
      <c r="X152" s="15">
        <f>W153/$C$14</f>
        <v>36652.423752963652</v>
      </c>
      <c r="Y152" s="16">
        <f>(Z151*$C$15+Z153*(1-$C$15))*EXP(-$C$9*$C$13)</f>
        <v>3128.9568408535156</v>
      </c>
      <c r="Z152" s="15">
        <f>Y153/$C$14</f>
        <v>36652.423752963652</v>
      </c>
      <c r="AA152" s="16">
        <f>(AB151*$C$15+AB153*(1-$C$15))*EXP(-$C$9*$C$13)</f>
        <v>3021.1925000224992</v>
      </c>
      <c r="AB152" s="15">
        <f>AA153/$C$14</f>
        <v>36652.423752963652</v>
      </c>
      <c r="AC152" s="16">
        <f>(AD151*$C$15+AD153*(1-$C$15))*EXP(-$C$9*$C$13)</f>
        <v>2909.2141582679701</v>
      </c>
      <c r="AD152" s="15">
        <f>AC153/$C$14</f>
        <v>36652.423752963652</v>
      </c>
      <c r="AE152" s="16">
        <f>(AF151*$C$15+AF153*(1-$C$15))*EXP(-$C$9*$C$13)</f>
        <v>2792.5248246696201</v>
      </c>
      <c r="AF152" s="15">
        <f>AE153/$C$14</f>
        <v>36652.423752963652</v>
      </c>
      <c r="AG152" s="16">
        <f>(AH151*$C$15+AH153*(1-$C$15))*EXP(-$C$9*$C$13)</f>
        <v>2670.5198786688861</v>
      </c>
      <c r="AH152" s="15">
        <f>AG153/$C$14</f>
        <v>36652.423752963652</v>
      </c>
      <c r="AI152" s="16">
        <f>(AJ151*$C$15+AJ153*(1-$C$15))*EXP(-$C$9*$C$13)</f>
        <v>2542.4512507982649</v>
      </c>
      <c r="AJ152" s="15">
        <f>AI153/$C$14</f>
        <v>36652.423752963652</v>
      </c>
      <c r="AK152" s="16">
        <f>(AL151*$C$15+AL153*(1-$C$15))*EXP(-$C$9*$C$13)</f>
        <v>2407.3746513679171</v>
      </c>
      <c r="AL152" s="15">
        <f>AK153/$C$14</f>
        <v>36652.423752963652</v>
      </c>
      <c r="AM152" s="16">
        <f>(AN151*$C$15+AN153*(1-$C$15))*EXP(-$C$9*$C$13)</f>
        <v>2264.0688842933532</v>
      </c>
      <c r="AN152" s="15">
        <f>AM153/$C$14</f>
        <v>36652.423752963652</v>
      </c>
      <c r="AO152" s="16">
        <f>(AP151*$C$15+AP153*(1-$C$15))*EXP(-$C$9*$C$13)</f>
        <v>2110.9067858270055</v>
      </c>
      <c r="AP152" s="15">
        <f>AO153/$C$14</f>
        <v>36652.423752963652</v>
      </c>
      <c r="AQ152" s="16">
        <f>(AR151*$C$15+AR153*(1-$C$15))*EXP(-$C$9*$C$13)</f>
        <v>1945.6368750892509</v>
      </c>
      <c r="AR152" s="15">
        <f>AQ153/$C$14</f>
        <v>36652.423752963652</v>
      </c>
      <c r="AS152" s="16">
        <f>(AT151*$C$15+AT153*(1-$C$15))*EXP(-$C$9*$C$13)</f>
        <v>1764.9864675175882</v>
      </c>
      <c r="AT152" s="15">
        <f>AS153/$C$14</f>
        <v>36652.423752963652</v>
      </c>
      <c r="AU152" s="16">
        <f>(AV151*$C$15+AV153*(1-$C$15))*EXP(-$C$9*$C$13)</f>
        <v>1563.8681265786518</v>
      </c>
      <c r="AV152" s="15">
        <f>AU153/$C$14</f>
        <v>36652.423752963652</v>
      </c>
      <c r="AW152" s="16">
        <f>(AX151*$C$15+AX153*(1-$C$15))*EXP(-$C$9*$C$13)</f>
        <v>1333.5663526190317</v>
      </c>
      <c r="AX152" s="15">
        <f>AW153/$C$14</f>
        <v>36652.423752963652</v>
      </c>
      <c r="AY152" s="16">
        <f>(AZ151*$C$15+AZ153*(1-$C$15))*EXP(-$C$9*$C$13)</f>
        <v>1056.661748492601</v>
      </c>
      <c r="AZ152" s="15">
        <f>AY153/$C$14</f>
        <v>36652.423752963652</v>
      </c>
      <c r="BA152" s="16">
        <f>(BB151*$C$15+BB153*(1-$C$15))*EXP(-$C$9*$C$13)</f>
        <v>686.7334255349582</v>
      </c>
      <c r="BB152" s="15">
        <f>BA153/$C$14</f>
        <v>36652.423752963652</v>
      </c>
      <c r="BD152" s="23">
        <f t="shared" si="29"/>
        <v>45205.33333333343</v>
      </c>
      <c r="BE152" s="25">
        <v>1667.2611262066503</v>
      </c>
      <c r="BF152" s="25">
        <v>1634.5118177424197</v>
      </c>
      <c r="BG152" s="25">
        <v>1601.5122577141615</v>
      </c>
      <c r="BH152" s="25">
        <v>1568.2592629441374</v>
      </c>
      <c r="BI152" s="25">
        <v>1534.7496944618231</v>
      </c>
      <c r="BJ152" s="25">
        <v>1500.9804749339526</v>
      </c>
      <c r="BK152" s="25">
        <v>1466.94860902294</v>
      </c>
      <c r="BL152" s="25">
        <v>1432.6512071599686</v>
      </c>
      <c r="BM152" s="25">
        <v>1398.0855133056921</v>
      </c>
      <c r="BN152" s="25">
        <v>1363.2489373764117</v>
      </c>
      <c r="BO152" s="25">
        <v>1328.1390931387245</v>
      </c>
      <c r="BP152" s="25">
        <v>1292.7538425267583</v>
      </c>
      <c r="BQ152" s="25">
        <v>1257.091347518372</v>
      </c>
      <c r="BR152" s="25">
        <v>1221.1501309276741</v>
      </c>
      <c r="BS152" s="25">
        <v>1184.9291477395586</v>
      </c>
      <c r="BT152" s="25">
        <v>1148.4278689393716</v>
      </c>
      <c r="BU152" s="25">
        <v>1111.6463801902939</v>
      </c>
      <c r="BV152" s="25">
        <v>1074.5854982025701</v>
      </c>
      <c r="BW152" s="25">
        <v>1037.2469082422772</v>
      </c>
      <c r="BX152" s="25">
        <v>999.63332697338933</v>
      </c>
      <c r="BY152" s="25">
        <v>961.74869575158959</v>
      </c>
      <c r="BZ152" s="25">
        <v>923.59841063605097</v>
      </c>
      <c r="CA152" s="25">
        <v>885.18959681905176</v>
      </c>
      <c r="CB152" s="25">
        <v>846.53143696363941</v>
      </c>
      <c r="CC152" s="25">
        <v>807.63556518587973</v>
      </c>
      <c r="CD152" s="25">
        <v>768.51654124075731</v>
      </c>
      <c r="CE152" s="25">
        <v>729.19242302319287</v>
      </c>
      <c r="CF152" s="25">
        <v>689.68545997164176</v>
      </c>
      <c r="CG152" s="25">
        <v>650.02293559627481</v>
      </c>
      <c r="CH152" s="25">
        <v>610.23819443211767</v>
      </c>
      <c r="CI152" s="25">
        <v>570.37189756347607</v>
      </c>
      <c r="CJ152" s="25">
        <v>530.47356181825944</v>
      </c>
      <c r="CK152" s="25">
        <v>490.60345107654075</v>
      </c>
      <c r="CL152" s="25">
        <v>450.83490395853636</v>
      </c>
      <c r="CM152" s="25">
        <v>411.25720002280349</v>
      </c>
      <c r="CN152" s="25">
        <v>371.97908494531464</v>
      </c>
      <c r="CO152" s="25">
        <v>333.13309005574899</v>
      </c>
      <c r="CP152" s="25">
        <v>294.88078454302359</v>
      </c>
      <c r="CQ152" s="25">
        <v>257.41907221596784</v>
      </c>
      <c r="CR152" s="25">
        <v>220.98755503507789</v>
      </c>
      <c r="CS152" s="25">
        <v>185.87676911968938</v>
      </c>
      <c r="CT152" s="25">
        <v>152.43664082638142</v>
      </c>
      <c r="CU152" s="25">
        <v>121.08361429174546</v>
      </c>
      <c r="CV152" s="25">
        <v>92.303258054353549</v>
      </c>
      <c r="CW152" s="25">
        <v>66.642353002816904</v>
      </c>
      <c r="CX152" s="25">
        <v>44.680154379544931</v>
      </c>
      <c r="CY152" s="25">
        <v>26.963107767894506</v>
      </c>
      <c r="CZ152" s="25">
        <v>13.883772044723321</v>
      </c>
      <c r="DA152" s="25">
        <v>5.4925469173881929</v>
      </c>
      <c r="DB152" s="25">
        <v>1.2712408663009649</v>
      </c>
      <c r="DC152" s="44">
        <f t="shared" si="32"/>
        <v>0</v>
      </c>
      <c r="DD152" s="5">
        <f t="shared" si="31"/>
        <v>40</v>
      </c>
      <c r="DE152" s="30" cm="1">
        <f t="array" ref="DE152">1/2*(rf-q)*DD152*dt-1/2*(sigma^2)*(DD152^2)*dt</f>
        <v>-1.2098071232876713</v>
      </c>
      <c r="DF152" s="25">
        <f t="shared" si="33"/>
        <v>3.430532602739726</v>
      </c>
      <c r="DG152" s="6">
        <f t="shared" si="34"/>
        <v>-1.2204591780821916</v>
      </c>
      <c r="DH152" s="5">
        <f t="shared" si="35"/>
        <v>1667.2611262065263</v>
      </c>
      <c r="DI152" s="6">
        <v>1699.7633955771535</v>
      </c>
    </row>
    <row r="153" spans="4:113" x14ac:dyDescent="0.25">
      <c r="E153" s="15">
        <f>D154/$C$14</f>
        <v>35251.436494425012</v>
      </c>
      <c r="F153" s="16">
        <f>(G152*$C$15+G154*(1-$C$15))*EXP(-$C$9*$C$13)</f>
        <v>4677.8909217145356</v>
      </c>
      <c r="G153" s="15">
        <f>F154/$C$14</f>
        <v>35251.436494425012</v>
      </c>
      <c r="H153" s="16">
        <f>(I152*$C$15+I154*(1-$C$15))*EXP(-$C$9*$C$13)</f>
        <v>4598.693368340565</v>
      </c>
      <c r="I153" s="15">
        <f>H154/$C$14</f>
        <v>35251.436494425012</v>
      </c>
      <c r="J153" s="16">
        <f>(K152*$C$15+K154*(1-$C$15))*EXP(-$C$9*$C$13)</f>
        <v>4517.6335983877616</v>
      </c>
      <c r="K153" s="15">
        <f>J154/$C$14</f>
        <v>35251.436494425012</v>
      </c>
      <c r="L153" s="16">
        <f>(M152*$C$15+M154*(1-$C$15))*EXP(-$C$9*$C$13)</f>
        <v>4434.590471954989</v>
      </c>
      <c r="M153" s="15">
        <f>L154/$C$14</f>
        <v>35251.436494425012</v>
      </c>
      <c r="N153" s="16">
        <f>(O152*$C$15+O154*(1-$C$15))*EXP(-$C$9*$C$13)</f>
        <v>4349.4288013963096</v>
      </c>
      <c r="O153" s="15">
        <f>N154/$C$14</f>
        <v>35251.436494425012</v>
      </c>
      <c r="P153" s="16">
        <f>(Q152*$C$15+Q154*(1-$C$15))*EXP(-$C$9*$C$13)</f>
        <v>4261.996949096786</v>
      </c>
      <c r="Q153" s="15">
        <f>P154/$C$14</f>
        <v>35251.436494425012</v>
      </c>
      <c r="R153" s="16">
        <f>(S152*$C$15+S154*(1-$C$15))*EXP(-$C$9*$C$13)</f>
        <v>4172.1238690671616</v>
      </c>
      <c r="S153" s="15">
        <f>R154/$C$14</f>
        <v>35251.436494425012</v>
      </c>
      <c r="T153" s="16">
        <f>(U152*$C$15+U154*(1-$C$15))*EXP(-$C$9*$C$13)</f>
        <v>4079.615426284367</v>
      </c>
      <c r="U153" s="15">
        <f>T154/$C$14</f>
        <v>35251.436494425012</v>
      </c>
      <c r="V153" s="16">
        <f>(W152*$C$15+W154*(1-$C$15))*EXP(-$C$9*$C$13)</f>
        <v>3984.2497656949113</v>
      </c>
      <c r="W153" s="15">
        <f>V154/$C$14</f>
        <v>35251.436494425012</v>
      </c>
      <c r="X153" s="16">
        <f>(Y152*$C$15+Y154*(1-$C$15))*EXP(-$C$9*$C$13)</f>
        <v>3885.7714124277545</v>
      </c>
      <c r="Y153" s="15">
        <f>X154/$C$14</f>
        <v>35251.436494425012</v>
      </c>
      <c r="Z153" s="16">
        <f>(AA152*$C$15+AA154*(1-$C$15))*EXP(-$C$9*$C$13)</f>
        <v>3783.8836503680081</v>
      </c>
      <c r="AA153" s="15">
        <f>Z154/$C$14</f>
        <v>35251.436494425012</v>
      </c>
      <c r="AB153" s="16">
        <f>(AC152*$C$15+AC154*(1-$C$15))*EXP(-$C$9*$C$13)</f>
        <v>3678.2385218109007</v>
      </c>
      <c r="AC153" s="15">
        <f>AB154/$C$14</f>
        <v>35251.436494425012</v>
      </c>
      <c r="AD153" s="16">
        <f>(AE152*$C$15+AE154*(1-$C$15))*EXP(-$C$9*$C$13)</f>
        <v>3568.4234719608694</v>
      </c>
      <c r="AE153" s="15">
        <f>AD154/$C$14</f>
        <v>35251.436494425012</v>
      </c>
      <c r="AF153" s="16">
        <f>(AG152*$C$15+AG154*(1-$C$15))*EXP(-$C$9*$C$13)</f>
        <v>3453.9431499174061</v>
      </c>
      <c r="AG153" s="15">
        <f>AF154/$C$14</f>
        <v>35251.436494425012</v>
      </c>
      <c r="AH153" s="16">
        <f>(AI152*$C$15+AI154*(1-$C$15))*EXP(-$C$9*$C$13)</f>
        <v>3334.1940281164389</v>
      </c>
      <c r="AI153" s="15">
        <f>AH154/$C$14</f>
        <v>35251.436494425012</v>
      </c>
      <c r="AJ153" s="16">
        <f>(AK152*$C$15+AK154*(1-$C$15))*EXP(-$C$9*$C$13)</f>
        <v>3208.4280381901594</v>
      </c>
      <c r="AK153" s="15">
        <f>AJ154/$C$14</f>
        <v>35251.436494425012</v>
      </c>
      <c r="AL153" s="16">
        <f>(AM152*$C$15+AM154*(1-$C$15))*EXP(-$C$9*$C$13)</f>
        <v>3075.6987849083193</v>
      </c>
      <c r="AM153" s="15">
        <f>AL154/$C$14</f>
        <v>35251.436494425012</v>
      </c>
      <c r="AN153" s="16">
        <f>(AO152*$C$15+AO154*(1-$C$15))*EXP(-$C$9*$C$13)</f>
        <v>2934.7788978866347</v>
      </c>
      <c r="AO153" s="15">
        <f>AN154/$C$14</f>
        <v>35251.436494425012</v>
      </c>
      <c r="AP153" s="16">
        <f>(AQ152*$C$15+AQ154*(1-$C$15))*EXP(-$C$9*$C$13)</f>
        <v>2784.0269729682359</v>
      </c>
      <c r="AQ153" s="15">
        <f>AP154/$C$14</f>
        <v>35251.436494425012</v>
      </c>
      <c r="AR153" s="16">
        <f>(AS152*$C$15+AS154*(1-$C$15))*EXP(-$C$9*$C$13)</f>
        <v>2621.1604785278787</v>
      </c>
      <c r="AS153" s="15">
        <f>AR154/$C$14</f>
        <v>35251.436494425012</v>
      </c>
      <c r="AT153" s="16">
        <f>(AU152*$C$15+AU154*(1-$C$15))*EXP(-$C$9*$C$13)</f>
        <v>2442.8377726360991</v>
      </c>
      <c r="AU153" s="15">
        <f>AT154/$C$14</f>
        <v>35251.436494425012</v>
      </c>
      <c r="AV153" s="16">
        <f>(AW152*$C$15+AW154*(1-$C$15))*EXP(-$C$9*$C$13)</f>
        <v>2243.8060290282624</v>
      </c>
      <c r="AW153" s="15">
        <f>AV154/$C$14</f>
        <v>35251.436494425012</v>
      </c>
      <c r="AX153" s="16">
        <f>(AY152*$C$15+AY154*(1-$C$15))*EXP(-$C$9*$C$13)</f>
        <v>2014.8869612463411</v>
      </c>
      <c r="AY153" s="15">
        <f>AX154/$C$14</f>
        <v>35251.436494425012</v>
      </c>
      <c r="AZ153" s="16">
        <f>(BA152*$C$15+BA154*(1-$C$15))*EXP(-$C$9*$C$13)</f>
        <v>1736.8993382425247</v>
      </c>
      <c r="BA153" s="15">
        <f>AZ154/$C$14</f>
        <v>35251.436494425012</v>
      </c>
      <c r="BB153" s="16">
        <f>MAX(0,$C$8-BB152)</f>
        <v>1347.5762470363479</v>
      </c>
      <c r="BD153" s="23">
        <f t="shared" si="29"/>
        <v>44075.200000000099</v>
      </c>
      <c r="BE153" s="25">
        <v>1915.1728244622013</v>
      </c>
      <c r="BF153" s="25">
        <v>1881.0307784573688</v>
      </c>
      <c r="BG153" s="25">
        <v>1846.5863935597663</v>
      </c>
      <c r="BH153" s="25">
        <v>1811.8339324635842</v>
      </c>
      <c r="BI153" s="25">
        <v>1776.7675316214447</v>
      </c>
      <c r="BJ153" s="25">
        <v>1741.3812041932101</v>
      </c>
      <c r="BK153" s="25">
        <v>1705.6688444357603</v>
      </c>
      <c r="BL153" s="25">
        <v>1669.6242338436195</v>
      </c>
      <c r="BM153" s="25">
        <v>1633.241049412341</v>
      </c>
      <c r="BN153" s="25">
        <v>1596.5128744757071</v>
      </c>
      <c r="BO153" s="25">
        <v>1559.4332126623174</v>
      </c>
      <c r="BP153" s="25">
        <v>1521.9955056339004</v>
      </c>
      <c r="BQ153" s="25">
        <v>1484.1931554110631</v>
      </c>
      <c r="BR153" s="25">
        <v>1446.0195522692911</v>
      </c>
      <c r="BS153" s="25">
        <v>1407.4681094071698</v>
      </c>
      <c r="BT153" s="25">
        <v>1368.5323058616973</v>
      </c>
      <c r="BU153" s="25">
        <v>1329.2057394849828</v>
      </c>
      <c r="BV153" s="25">
        <v>1289.4821922232136</v>
      </c>
      <c r="BW153" s="25">
        <v>1249.3557104742392</v>
      </c>
      <c r="BX153" s="25">
        <v>1208.8207039770757</v>
      </c>
      <c r="BY153" s="25">
        <v>1167.8720675456445</v>
      </c>
      <c r="BZ153" s="25">
        <v>1126.5053310538194</v>
      </c>
      <c r="CA153" s="25">
        <v>1084.7168444820309</v>
      </c>
      <c r="CB153" s="25">
        <v>1042.5040066411582</v>
      </c>
      <c r="CC153" s="25">
        <v>999.86554852630331</v>
      </c>
      <c r="CD153" s="25">
        <v>956.80188529294867</v>
      </c>
      <c r="CE153" s="25">
        <v>913.31555482056206</v>
      </c>
      <c r="CF153" s="25">
        <v>869.41176605338012</v>
      </c>
      <c r="CG153" s="25">
        <v>825.09908720671785</v>
      </c>
      <c r="CH153" s="25">
        <v>780.39031308656467</v>
      </c>
      <c r="CI153" s="25">
        <v>735.30356298153856</v>
      </c>
      <c r="CJ153" s="25">
        <v>689.86367692505075</v>
      </c>
      <c r="CK153" s="25">
        <v>644.10400004139217</v>
      </c>
      <c r="CL153" s="25">
        <v>598.06867409571385</v>
      </c>
      <c r="CM153" s="25">
        <v>551.81559472579761</v>
      </c>
      <c r="CN153" s="25">
        <v>505.4202451155553</v>
      </c>
      <c r="CO153" s="25">
        <v>458.98068523845365</v>
      </c>
      <c r="CP153" s="25">
        <v>412.6240625265205</v>
      </c>
      <c r="CQ153" s="25">
        <v>366.51511345879265</v>
      </c>
      <c r="CR153" s="25">
        <v>320.8672341954229</v>
      </c>
      <c r="CS153" s="25">
        <v>275.95677440416927</v>
      </c>
      <c r="CT153" s="25">
        <v>232.14115571986258</v>
      </c>
      <c r="CU153" s="25">
        <v>189.88101259172785</v>
      </c>
      <c r="CV153" s="25">
        <v>149.76531933030182</v>
      </c>
      <c r="CW153" s="25">
        <v>112.53543907735968</v>
      </c>
      <c r="CX153" s="25">
        <v>79.097448112329516</v>
      </c>
      <c r="CY153" s="25">
        <v>50.499267056643816</v>
      </c>
      <c r="CZ153" s="25">
        <v>27.827684702162792</v>
      </c>
      <c r="DA153" s="25">
        <v>11.954479465190147</v>
      </c>
      <c r="DB153" s="25">
        <v>3.0612488653494809</v>
      </c>
      <c r="DC153" s="44">
        <f t="shared" si="32"/>
        <v>0</v>
      </c>
      <c r="DD153" s="5">
        <f t="shared" si="31"/>
        <v>39</v>
      </c>
      <c r="DE153" s="30" cm="1">
        <f t="array" ref="DE153">1/2*(rf-q)*DD153*dt-1/2*(sigma^2)*(DD153^2)*dt</f>
        <v>-1.1499430746575339</v>
      </c>
      <c r="DF153" s="25">
        <f t="shared" si="33"/>
        <v>3.3105382041095885</v>
      </c>
      <c r="DG153" s="6">
        <f t="shared" si="34"/>
        <v>-1.1603288280821915</v>
      </c>
      <c r="DH153" s="5">
        <f t="shared" si="35"/>
        <v>1915.1728244620031</v>
      </c>
      <c r="DI153" s="6">
        <v>1949.0181408744916</v>
      </c>
    </row>
    <row r="154" spans="4:113" x14ac:dyDescent="0.25">
      <c r="D154" s="15">
        <f>$C$7</f>
        <v>33904</v>
      </c>
      <c r="E154" s="16">
        <f>(F153*$C$15+F155*(1-$C$15))*EXP(-$C$9*$C$13)</f>
        <v>5443.7533970217901</v>
      </c>
      <c r="F154" s="15">
        <f>E155/$C$14</f>
        <v>33904</v>
      </c>
      <c r="G154" s="16">
        <f>(H153*$C$15+H155*(1-$C$15))*EXP(-$C$9*$C$13)</f>
        <v>5369.6647748788882</v>
      </c>
      <c r="H154" s="15">
        <f>G155/$C$14</f>
        <v>33904</v>
      </c>
      <c r="I154" s="16">
        <f>(J153*$C$15+J155*(1-$C$15))*EXP(-$C$9*$C$13)</f>
        <v>5293.9530509103952</v>
      </c>
      <c r="J154" s="15">
        <f>I155/$C$14</f>
        <v>33904</v>
      </c>
      <c r="K154" s="16">
        <f>(L153*$C$15+L155*(1-$C$15))*EXP(-$C$9*$C$13)</f>
        <v>5216.5219712840735</v>
      </c>
      <c r="L154" s="15">
        <f>K155/$C$14</f>
        <v>33904</v>
      </c>
      <c r="M154" s="16">
        <f>(N153*$C$15+N155*(1-$C$15))*EXP(-$C$9*$C$13)</f>
        <v>5137.2651807152979</v>
      </c>
      <c r="N154" s="15">
        <f>M155/$C$14</f>
        <v>33904</v>
      </c>
      <c r="O154" s="16">
        <f>(P153*$C$15+P155*(1-$C$15))*EXP(-$C$9*$C$13)</f>
        <v>5056.0646748566633</v>
      </c>
      <c r="P154" s="15">
        <f>O155/$C$14</f>
        <v>33904</v>
      </c>
      <c r="Q154" s="16">
        <f>(R153*$C$15+R155*(1-$C$15))*EXP(-$C$9*$C$13)</f>
        <v>4972.788935733076</v>
      </c>
      <c r="R154" s="15">
        <f>Q155/$C$14</f>
        <v>33904</v>
      </c>
      <c r="S154" s="16">
        <f>(T153*$C$15+T155*(1-$C$15))*EXP(-$C$9*$C$13)</f>
        <v>4887.2906678513646</v>
      </c>
      <c r="T154" s="15">
        <f>S155/$C$14</f>
        <v>33904</v>
      </c>
      <c r="U154" s="16">
        <f>(V153*$C$15+V155*(1-$C$15))*EXP(-$C$9*$C$13)</f>
        <v>4799.4040264056521</v>
      </c>
      <c r="V154" s="15">
        <f>U155/$C$14</f>
        <v>33904</v>
      </c>
      <c r="W154" s="16">
        <f>(X153*$C$15+X155*(1-$C$15))*EXP(-$C$9*$C$13)</f>
        <v>4708.9411928686395</v>
      </c>
      <c r="X154" s="15">
        <f>W155/$C$14</f>
        <v>33904</v>
      </c>
      <c r="Y154" s="16">
        <f>(Z153*$C$15+Z155*(1-$C$15))*EXP(-$C$9*$C$13)</f>
        <v>4615.6881028520247</v>
      </c>
      <c r="Z154" s="15">
        <f>Y155/$C$14</f>
        <v>33904</v>
      </c>
      <c r="AA154" s="16">
        <f>(AB153*$C$15+AB155*(1-$C$15))*EXP(-$C$9*$C$13)</f>
        <v>4519.3990599452181</v>
      </c>
      <c r="AB154" s="15">
        <f>AA155/$C$14</f>
        <v>33904</v>
      </c>
      <c r="AC154" s="16">
        <f>(AD153*$C$15+AD155*(1-$C$15))*EXP(-$C$9*$C$13)</f>
        <v>4419.7898675607439</v>
      </c>
      <c r="AD154" s="15">
        <f>AC155/$C$14</f>
        <v>33904</v>
      </c>
      <c r="AE154" s="16">
        <f>(AF153*$C$15+AF155*(1-$C$15))*EXP(-$C$9*$C$13)</f>
        <v>4316.5289640187584</v>
      </c>
      <c r="AF154" s="15">
        <f>AE155/$C$14</f>
        <v>33904</v>
      </c>
      <c r="AG154" s="16">
        <f>(AH153*$C$15+AH155*(1-$C$15))*EXP(-$C$9*$C$13)</f>
        <v>4209.225832580546</v>
      </c>
      <c r="AH154" s="15">
        <f>AG155/$C$14</f>
        <v>33904</v>
      </c>
      <c r="AI154" s="16">
        <f>(AJ153*$C$15+AJ155*(1-$C$15))*EXP(-$C$9*$C$13)</f>
        <v>4097.4156473357361</v>
      </c>
      <c r="AJ154" s="15">
        <f>AI155/$C$14</f>
        <v>33904</v>
      </c>
      <c r="AK154" s="16">
        <f>(AL153*$C$15+AL155*(1-$C$15))*EXP(-$C$9*$C$13)</f>
        <v>3980.5386700942504</v>
      </c>
      <c r="AL154" s="15">
        <f>AK155/$C$14</f>
        <v>33904</v>
      </c>
      <c r="AM154" s="16">
        <f>(AN153*$C$15+AN155*(1-$C$15))*EXP(-$C$9*$C$13)</f>
        <v>3857.9123081194184</v>
      </c>
      <c r="AN154" s="15">
        <f>AM155/$C$14</f>
        <v>33904</v>
      </c>
      <c r="AO154" s="16">
        <f>(AP153*$C$15+AP155*(1-$C$15))*EXP(-$C$9*$C$13)</f>
        <v>3728.6930615593756</v>
      </c>
      <c r="AP154" s="15">
        <f>AO155/$C$14</f>
        <v>33904</v>
      </c>
      <c r="AQ154" s="16">
        <f>(AR153*$C$15+AR155*(1-$C$15))*EXP(-$C$9*$C$13)</f>
        <v>3591.8254260341187</v>
      </c>
      <c r="AR154" s="15">
        <f>AQ155/$C$14</f>
        <v>33904</v>
      </c>
      <c r="AS154" s="16">
        <f>(AT153*$C$15+AT155*(1-$C$15))*EXP(-$C$9*$C$13)</f>
        <v>3445.9779830471466</v>
      </c>
      <c r="AT154" s="15">
        <f>AS155/$C$14</f>
        <v>33904</v>
      </c>
      <c r="AU154" s="16">
        <f>(AV153*$C$15+AV155*(1-$C$15))*EXP(-$C$9*$C$13)</f>
        <v>3289.486408748242</v>
      </c>
      <c r="AV154" s="15">
        <f>AU155/$C$14</f>
        <v>33904</v>
      </c>
      <c r="AW154" s="16">
        <f>(AX153*$C$15+AX155*(1-$C$15))*EXP(-$C$9*$C$13)</f>
        <v>3120.4254498832097</v>
      </c>
      <c r="AX154" s="15">
        <f>AW155/$C$14</f>
        <v>33904</v>
      </c>
      <c r="AY154" s="16">
        <f>(AZ153*$C$15+AZ155*(1-$C$15))*EXP(-$C$9*$C$13)</f>
        <v>2937.5381302436385</v>
      </c>
      <c r="AZ154" s="15">
        <f>AY155/$C$14</f>
        <v>33904</v>
      </c>
      <c r="BA154" s="16">
        <f>(BB153*$C$15+BB155*(1-$C$15))*EXP(-$C$9*$C$13)</f>
        <v>2747.8316567987868</v>
      </c>
      <c r="BB154" s="15">
        <f>BA155/$C$14</f>
        <v>33904</v>
      </c>
      <c r="BD154" s="23">
        <f t="shared" si="29"/>
        <v>42945.066666666768</v>
      </c>
      <c r="BE154" s="25">
        <v>2195.4572633701241</v>
      </c>
      <c r="BF154" s="25">
        <v>2160.1649111211618</v>
      </c>
      <c r="BG154" s="25">
        <v>2124.5225814156006</v>
      </c>
      <c r="BH154" s="25">
        <v>2088.5220682039267</v>
      </c>
      <c r="BI154" s="25">
        <v>2052.1548646133283</v>
      </c>
      <c r="BJ154" s="25">
        <v>2015.4121500320784</v>
      </c>
      <c r="BK154" s="25">
        <v>1978.2847768648935</v>
      </c>
      <c r="BL154" s="25">
        <v>1940.7632570373255</v>
      </c>
      <c r="BM154" s="25">
        <v>1902.8377483494394</v>
      </c>
      <c r="BN154" s="25">
        <v>1864.498040818896</v>
      </c>
      <c r="BO154" s="25">
        <v>1825.7335431979266</v>
      </c>
      <c r="BP154" s="25">
        <v>1786.5332699074856</v>
      </c>
      <c r="BQ154" s="25">
        <v>1746.885828706907</v>
      </c>
      <c r="BR154" s="25">
        <v>1706.7794095135582</v>
      </c>
      <c r="BS154" s="25">
        <v>1666.2017749098829</v>
      </c>
      <c r="BT154" s="25">
        <v>1625.1402530353137</v>
      </c>
      <c r="BU154" s="25">
        <v>1583.5817337636561</v>
      </c>
      <c r="BV154" s="25">
        <v>1541.5126693329958</v>
      </c>
      <c r="BW154" s="25">
        <v>1498.9190809390275</v>
      </c>
      <c r="BX154" s="25">
        <v>1455.7865732517812</v>
      </c>
      <c r="BY154" s="25">
        <v>1412.1003594036156</v>
      </c>
      <c r="BZ154" s="25">
        <v>1367.8452997696611</v>
      </c>
      <c r="CA154" s="25">
        <v>1323.0059588848897</v>
      </c>
      <c r="CB154" s="25">
        <v>1277.5666862007972</v>
      </c>
      <c r="CC154" s="25">
        <v>1231.5117282031183</v>
      </c>
      <c r="CD154" s="25">
        <v>1184.8253818580449</v>
      </c>
      <c r="CE154" s="25">
        <v>1137.4922026677236</v>
      </c>
      <c r="CF154" s="25">
        <v>1089.4972851367024</v>
      </c>
      <c r="CG154" s="25">
        <v>1040.8266396635961</v>
      </c>
      <c r="CH154" s="25">
        <v>991.46769847862492</v>
      </c>
      <c r="CI154" s="25">
        <v>941.40999526847634</v>
      </c>
      <c r="CJ154" s="25">
        <v>890.6460800577712</v>
      </c>
      <c r="CK154" s="25">
        <v>839.172754971166</v>
      </c>
      <c r="CL154" s="25">
        <v>786.99275096723522</v>
      </c>
      <c r="CM154" s="25">
        <v>734.1170154498775</v>
      </c>
      <c r="CN154" s="25">
        <v>680.56785321693201</v>
      </c>
      <c r="CO154" s="25">
        <v>626.38326957055654</v>
      </c>
      <c r="CP154" s="25">
        <v>571.62302100316219</v>
      </c>
      <c r="CQ154" s="25">
        <v>516.3771094321022</v>
      </c>
      <c r="CR154" s="25">
        <v>460.7777930659438</v>
      </c>
      <c r="CS154" s="25">
        <v>405.01667013938237</v>
      </c>
      <c r="CT154" s="25">
        <v>349.36905331406626</v>
      </c>
      <c r="CU154" s="25">
        <v>294.22866772713348</v>
      </c>
      <c r="CV154" s="25">
        <v>240.1564451806849</v>
      </c>
      <c r="CW154" s="25">
        <v>187.9470242242069</v>
      </c>
      <c r="CX154" s="25">
        <v>138.71311468574612</v>
      </c>
      <c r="CY154" s="25">
        <v>93.975083908216646</v>
      </c>
      <c r="CZ154" s="25">
        <v>55.707447037149585</v>
      </c>
      <c r="DA154" s="25">
        <v>26.211168405482145</v>
      </c>
      <c r="DB154" s="25">
        <v>7.5302196145667839</v>
      </c>
      <c r="DC154" s="44">
        <f t="shared" si="32"/>
        <v>0</v>
      </c>
      <c r="DD154" s="5">
        <f t="shared" si="31"/>
        <v>38</v>
      </c>
      <c r="DE154" s="30" cm="1">
        <f t="array" ref="DE154">1/2*(rf-q)*DD154*dt-1/2*(sigma^2)*(DD154^2)*dt</f>
        <v>-1.0915979424657531</v>
      </c>
      <c r="DF154" s="25">
        <f t="shared" si="33"/>
        <v>3.1935816383561639</v>
      </c>
      <c r="DG154" s="6">
        <f t="shared" si="34"/>
        <v>-1.1017173945205476</v>
      </c>
      <c r="DH154" s="5">
        <f t="shared" si="35"/>
        <v>2195.4572633703883</v>
      </c>
      <c r="DI154" s="6">
        <v>2230.4075559239654</v>
      </c>
    </row>
    <row r="155" spans="4:113" x14ac:dyDescent="0.25">
      <c r="D155" s="16">
        <f>(E154*$C$15+E156*(1-$C$15))*EXP(-$C$9*$C$13)</f>
        <v>6251.0725947357669</v>
      </c>
      <c r="E155" s="15">
        <f>D154*$C$14</f>
        <v>32608.067367177777</v>
      </c>
      <c r="F155" s="16">
        <f>(G154*$C$15+G156*(1-$C$15))*EXP(-$C$9*$C$13)</f>
        <v>6183.1861829740747</v>
      </c>
      <c r="G155" s="15">
        <f>F156/$C$14</f>
        <v>32608.067367177777</v>
      </c>
      <c r="H155" s="16">
        <f>(I154*$C$15+I156*(1-$C$15))*EXP(-$C$9*$C$13)</f>
        <v>6113.9724995542947</v>
      </c>
      <c r="I155" s="15">
        <f>H156/$C$14</f>
        <v>32608.067367177777</v>
      </c>
      <c r="J155" s="16">
        <f>(K154*$C$15+K156*(1-$C$15))*EXP(-$C$9*$C$13)</f>
        <v>6043.3648411777594</v>
      </c>
      <c r="K155" s="15">
        <f>J156/$C$14</f>
        <v>32608.067367177777</v>
      </c>
      <c r="L155" s="16">
        <f>(M154*$C$15+M156*(1-$C$15))*EXP(-$C$9*$C$13)</f>
        <v>5971.2908385542305</v>
      </c>
      <c r="M155" s="15">
        <f>L156/$C$14</f>
        <v>32608.067367177777</v>
      </c>
      <c r="N155" s="16">
        <f>(O154*$C$15+O156*(1-$C$15))*EXP(-$C$9*$C$13)</f>
        <v>5897.6718111140735</v>
      </c>
      <c r="O155" s="15">
        <f>N156/$C$14</f>
        <v>32608.067367177777</v>
      </c>
      <c r="P155" s="16">
        <f>(Q154*$C$15+Q156*(1-$C$15))*EXP(-$C$9*$C$13)</f>
        <v>5822.4220405366696</v>
      </c>
      <c r="Q155" s="15">
        <f>P156/$C$14</f>
        <v>32608.067367177777</v>
      </c>
      <c r="R155" s="16">
        <f>(S154*$C$15+S156*(1-$C$15))*EXP(-$C$9*$C$13)</f>
        <v>5745.4479572411765</v>
      </c>
      <c r="S155" s="15">
        <f>R156/$C$14</f>
        <v>32608.067367177777</v>
      </c>
      <c r="T155" s="16">
        <f>(U154*$C$15+U156*(1-$C$15))*EXP(-$C$9*$C$13)</f>
        <v>5666.6472379283723</v>
      </c>
      <c r="U155" s="15">
        <f>T156/$C$14</f>
        <v>32608.067367177777</v>
      </c>
      <c r="V155" s="16">
        <f>(W154*$C$15+W156*(1-$C$15))*EXP(-$C$9*$C$13)</f>
        <v>5585.907820474391</v>
      </c>
      <c r="W155" s="15">
        <f>V156/$C$14</f>
        <v>32608.067367177777</v>
      </c>
      <c r="X155" s="16">
        <f>(Y154*$C$15+Y156*(1-$C$15))*EXP(-$C$9*$C$13)</f>
        <v>5503.1068584933282</v>
      </c>
      <c r="Y155" s="15">
        <f>X156/$C$14</f>
        <v>32608.067367177777</v>
      </c>
      <c r="Z155" s="16">
        <f>(AA154*$C$15+AA156*(1-$C$15))*EXP(-$C$9*$C$13)</f>
        <v>5418.109668230456</v>
      </c>
      <c r="AA155" s="15">
        <f>Z156/$C$14</f>
        <v>32608.067367177777</v>
      </c>
      <c r="AB155" s="16">
        <f>(AC154*$C$15+AC156*(1-$C$15))*EXP(-$C$9*$C$13)</f>
        <v>5330.7687774007454</v>
      </c>
      <c r="AC155" s="15">
        <f>AB156/$C$14</f>
        <v>32608.067367177777</v>
      </c>
      <c r="AD155" s="16">
        <f>(AE154*$C$15+AE156*(1-$C$15))*EXP(-$C$9*$C$13)</f>
        <v>5240.9232928223228</v>
      </c>
      <c r="AE155" s="15">
        <f>AD156/$C$14</f>
        <v>32608.067367177777</v>
      </c>
      <c r="AF155" s="16">
        <f>(AG154*$C$15+AG156*(1-$C$15))*EXP(-$C$9*$C$13)</f>
        <v>5148.3990081850543</v>
      </c>
      <c r="AG155" s="15">
        <f>AF156/$C$14</f>
        <v>32608.067367177777</v>
      </c>
      <c r="AH155" s="16">
        <f>(AI154*$C$15+AI156*(1-$C$15))*EXP(-$C$9*$C$13)</f>
        <v>5053.010071494512</v>
      </c>
      <c r="AI155" s="15">
        <f>AH156/$C$14</f>
        <v>32608.067367177777</v>
      </c>
      <c r="AJ155" s="16">
        <f>(AK154*$C$15+AK156*(1-$C$15))*EXP(-$C$9*$C$13)</f>
        <v>4954.5638298854446</v>
      </c>
      <c r="AK155" s="15">
        <f>AJ156/$C$14</f>
        <v>32608.067367177777</v>
      </c>
      <c r="AL155" s="16">
        <f>(AM154*$C$15+AM156*(1-$C$15))*EXP(-$C$9*$C$13)</f>
        <v>4852.8721303278944</v>
      </c>
      <c r="AM155" s="15">
        <f>AL156/$C$14</f>
        <v>32608.067367177777</v>
      </c>
      <c r="AN155" s="16">
        <f>(AO154*$C$15+AO156*(1-$C$15))*EXP(-$C$9*$C$13)</f>
        <v>4747.775977724611</v>
      </c>
      <c r="AO155" s="15">
        <f>AN156/$C$14</f>
        <v>32608.067367177777</v>
      </c>
      <c r="AP155" s="16">
        <f>(AQ154*$C$15+AQ156*(1-$C$15))*EXP(-$C$9*$C$13)</f>
        <v>4639.1988370378112</v>
      </c>
      <c r="AQ155" s="15">
        <f>AP156/$C$14</f>
        <v>32608.067367177777</v>
      </c>
      <c r="AR155" s="16">
        <f>(AS154*$C$15+AS156*(1-$C$15))*EXP(-$C$9*$C$13)</f>
        <v>4527.2647782510558</v>
      </c>
      <c r="AS155" s="15">
        <f>AR156/$C$14</f>
        <v>32608.067367177777</v>
      </c>
      <c r="AT155" s="16">
        <f>(AU154*$C$15+AU156*(1-$C$15))*EXP(-$C$9*$C$13)</f>
        <v>4412.5750726850138</v>
      </c>
      <c r="AU155" s="15">
        <f>AT156/$C$14</f>
        <v>32608.067367177777</v>
      </c>
      <c r="AV155" s="16">
        <f>(AW154*$C$15+AW156*(1-$C$15))*EXP(-$C$9*$C$13)</f>
        <v>4296.9158638568369</v>
      </c>
      <c r="AW155" s="15">
        <f>AV156/$C$14</f>
        <v>32608.067367177777</v>
      </c>
      <c r="AX155" s="16">
        <f>(AY154*$C$15+AY156*(1-$C$15))*EXP(-$C$9*$C$13)</f>
        <v>4185.3366888087603</v>
      </c>
      <c r="AY155" s="15">
        <f>AX156/$C$14</f>
        <v>32608.067367177777</v>
      </c>
      <c r="AZ155" s="16">
        <f>(BA154*$C$15+BA156*(1-$C$15))*EXP(-$C$9*$C$13)</f>
        <v>4093.8190400222652</v>
      </c>
      <c r="BA155" s="15">
        <f>AZ156/$C$14</f>
        <v>32608.067367177777</v>
      </c>
      <c r="BB155" s="16">
        <f>MAX(0,$C$8-BB154)</f>
        <v>4096</v>
      </c>
      <c r="BD155" s="23">
        <f t="shared" si="29"/>
        <v>41814.933333333436</v>
      </c>
      <c r="BE155" s="25">
        <v>2511.2065277056186</v>
      </c>
      <c r="BF155" s="25">
        <v>2475.0652059714034</v>
      </c>
      <c r="BG155" s="25">
        <v>2438.533258678689</v>
      </c>
      <c r="BH155" s="25">
        <v>2401.6002617270219</v>
      </c>
      <c r="BI155" s="25">
        <v>2364.255325751416</v>
      </c>
      <c r="BJ155" s="25">
        <v>2326.4870674915569</v>
      </c>
      <c r="BK155" s="25">
        <v>2288.2835789789297</v>
      </c>
      <c r="BL155" s="25">
        <v>2249.6323943557099</v>
      </c>
      <c r="BM155" s="25">
        <v>2210.5204541224939</v>
      </c>
      <c r="BN155" s="25">
        <v>2170.9340665975878</v>
      </c>
      <c r="BO155" s="25">
        <v>2130.8588663545142</v>
      </c>
      <c r="BP155" s="25">
        <v>2090.2797693894827</v>
      </c>
      <c r="BQ155" s="25">
        <v>2049.1809247571509</v>
      </c>
      <c r="BR155" s="25">
        <v>2007.5456624031883</v>
      </c>
      <c r="BS155" s="25">
        <v>1965.3564369136573</v>
      </c>
      <c r="BT155" s="25">
        <v>1922.5947669083009</v>
      </c>
      <c r="BU155" s="25">
        <v>1879.2411698122078</v>
      </c>
      <c r="BV155" s="25">
        <v>1835.2750917744838</v>
      </c>
      <c r="BW155" s="25">
        <v>1790.6748325566034</v>
      </c>
      <c r="BX155" s="25">
        <v>1745.4174653051036</v>
      </c>
      <c r="BY155" s="25">
        <v>1699.4787512679786</v>
      </c>
      <c r="BZ155" s="25">
        <v>1652.8330497343361</v>
      </c>
      <c r="CA155" s="25">
        <v>1605.4532238088163</v>
      </c>
      <c r="CB155" s="25">
        <v>1557.3105431195977</v>
      </c>
      <c r="CC155" s="25">
        <v>1508.3745852794343</v>
      </c>
      <c r="CD155" s="25">
        <v>1458.6131389720283</v>
      </c>
      <c r="CE155" s="25">
        <v>1407.9921130784639</v>
      </c>
      <c r="CF155" s="25">
        <v>1356.4754585204705</v>
      </c>
      <c r="CG155" s="25">
        <v>1304.0251128258012</v>
      </c>
      <c r="CH155" s="25">
        <v>1250.6009823448642</v>
      </c>
      <c r="CI155" s="25">
        <v>1196.1609843798974</v>
      </c>
      <c r="CJ155" s="25">
        <v>1140.6611824921642</v>
      </c>
      <c r="CK155" s="25">
        <v>1084.0560649267659</v>
      </c>
      <c r="CL155" s="25">
        <v>1026.299041622239</v>
      </c>
      <c r="CM155" s="25">
        <v>967.34327481993319</v>
      </c>
      <c r="CN155" s="25">
        <v>907.14302034601326</v>
      </c>
      <c r="CO155" s="25">
        <v>845.65575536858216</v>
      </c>
      <c r="CP155" s="25">
        <v>782.84552780650608</v>
      </c>
      <c r="CQ155" s="25">
        <v>718.68822366922723</v>
      </c>
      <c r="CR155" s="25">
        <v>653.17988260676236</v>
      </c>
      <c r="CS155" s="25">
        <v>586.34992269098257</v>
      </c>
      <c r="CT155" s="25">
        <v>518.28237732656009</v>
      </c>
      <c r="CU155" s="25">
        <v>449.15036206623472</v>
      </c>
      <c r="CV155" s="25">
        <v>379.27254708858584</v>
      </c>
      <c r="CW155" s="25">
        <v>309.206152740128</v>
      </c>
      <c r="CX155" s="25">
        <v>239.89925916528657</v>
      </c>
      <c r="CY155" s="25">
        <v>172.93339161294773</v>
      </c>
      <c r="CZ155" s="25">
        <v>110.88044652511665</v>
      </c>
      <c r="DA155" s="25">
        <v>57.719812492070979</v>
      </c>
      <c r="DB155" s="25">
        <v>18.940801521945861</v>
      </c>
      <c r="DC155" s="44">
        <f t="shared" si="32"/>
        <v>0</v>
      </c>
      <c r="DD155" s="5">
        <f t="shared" si="31"/>
        <v>37</v>
      </c>
      <c r="DE155" s="30" cm="1">
        <f t="array" ref="DE155">1/2*(rf-q)*DD155*dt-1/2*(sigma^2)*(DD155^2)*dt</f>
        <v>-1.0347717267123286</v>
      </c>
      <c r="DF155" s="25">
        <f t="shared" si="33"/>
        <v>3.0796629054794518</v>
      </c>
      <c r="DG155" s="6">
        <f t="shared" si="34"/>
        <v>-1.0446248773972602</v>
      </c>
      <c r="DH155" s="5">
        <f t="shared" si="35"/>
        <v>2511.206527705941</v>
      </c>
      <c r="DI155" s="6">
        <v>2546.9672093385575</v>
      </c>
    </row>
    <row r="156" spans="4:113" x14ac:dyDescent="0.25">
      <c r="E156" s="16">
        <f>(F155*$C$15+F157*(1-$C$15))*EXP(-$C$9*$C$13)</f>
        <v>7030.7992971706517</v>
      </c>
      <c r="F156" s="15">
        <f>E155*$C$14</f>
        <v>31361.669933412111</v>
      </c>
      <c r="G156" s="16">
        <f>(H155*$C$15+H157*(1-$C$15))*EXP(-$C$9*$C$13)</f>
        <v>6968.8425548404703</v>
      </c>
      <c r="H156" s="15">
        <f>G157/$C$14</f>
        <v>31361.669933412111</v>
      </c>
      <c r="I156" s="16">
        <f>(J155*$C$15+J157*(1-$C$15))*EXP(-$C$9*$C$13)</f>
        <v>6905.8423698377783</v>
      </c>
      <c r="J156" s="15">
        <f>I157/$C$14</f>
        <v>31361.669933412111</v>
      </c>
      <c r="K156" s="16">
        <f>(L155*$C$15+L157*(1-$C$15))*EXP(-$C$9*$C$13)</f>
        <v>6841.7604250179429</v>
      </c>
      <c r="L156" s="15">
        <f>K157/$C$14</f>
        <v>31361.669933412111</v>
      </c>
      <c r="M156" s="16">
        <f>(N155*$C$15+N157*(1-$C$15))*EXP(-$C$9*$C$13)</f>
        <v>6776.5570002058848</v>
      </c>
      <c r="N156" s="15">
        <f>M157/$C$14</f>
        <v>31361.669933412111</v>
      </c>
      <c r="O156" s="16">
        <f>(P155*$C$15+P157*(1-$C$15))*EXP(-$C$9*$C$13)</f>
        <v>6710.1911944036692</v>
      </c>
      <c r="P156" s="15">
        <f>O157/$C$14</f>
        <v>31361.669933412111</v>
      </c>
      <c r="Q156" s="16">
        <f>(R155*$C$15+R157*(1-$C$15))*EXP(-$C$9*$C$13)</f>
        <v>6642.6212935306385</v>
      </c>
      <c r="R156" s="15">
        <f>Q157/$C$14</f>
        <v>31361.669933412111</v>
      </c>
      <c r="S156" s="16">
        <f>(T155*$C$15+T157*(1-$C$15))*EXP(-$C$9*$C$13)</f>
        <v>6573.8053514314952</v>
      </c>
      <c r="T156" s="15">
        <f>S157/$C$14</f>
        <v>31361.669933412111</v>
      </c>
      <c r="U156" s="16">
        <f>(V155*$C$15+V157*(1-$C$15))*EXP(-$C$9*$C$13)</f>
        <v>6503.7020848303337</v>
      </c>
      <c r="V156" s="15">
        <f>U157/$C$14</f>
        <v>31361.669933412111</v>
      </c>
      <c r="W156" s="16">
        <f>(X155*$C$15+X157*(1-$C$15))*EXP(-$C$9*$C$13)</f>
        <v>6432.272233773223</v>
      </c>
      <c r="X156" s="15">
        <f>W157/$C$14</f>
        <v>31361.669933412111</v>
      </c>
      <c r="Y156" s="16">
        <f>(Z155*$C$15+Z157*(1-$C$15))*EXP(-$C$9*$C$13)</f>
        <v>6359.4806190106174</v>
      </c>
      <c r="Z156" s="15">
        <f>Y157/$C$14</f>
        <v>31361.669933412111</v>
      </c>
      <c r="AA156" s="16">
        <f>(AB155*$C$15+AB157*(1-$C$15))*EXP(-$C$9*$C$13)</f>
        <v>6285.2992557699226</v>
      </c>
      <c r="AB156" s="15">
        <f>AA157/$C$14</f>
        <v>31361.669933412111</v>
      </c>
      <c r="AC156" s="16">
        <f>(AD155*$C$15+AD157*(1-$C$15))*EXP(-$C$9*$C$13)</f>
        <v>6209.7120929214443</v>
      </c>
      <c r="AD156" s="15">
        <f>AC157/$C$14</f>
        <v>31361.669933412111</v>
      </c>
      <c r="AE156" s="16">
        <f>(AF155*$C$15+AF157*(1-$C$15))*EXP(-$C$9*$C$13)</f>
        <v>6132.7222981527857</v>
      </c>
      <c r="AF156" s="15">
        <f>AE157/$C$14</f>
        <v>31361.669933412111</v>
      </c>
      <c r="AG156" s="16">
        <f>(AH155*$C$15+AH157*(1-$C$15))*EXP(-$C$9*$C$13)</f>
        <v>6054.3636163993915</v>
      </c>
      <c r="AH156" s="15">
        <f>AG157/$C$14</f>
        <v>31361.669933412111</v>
      </c>
      <c r="AI156" s="16">
        <f>(AJ155*$C$15+AJ157*(1-$C$15))*EXP(-$C$9*$C$13)</f>
        <v>5974.7184090914561</v>
      </c>
      <c r="AJ156" s="15">
        <f>AI157/$C$14</f>
        <v>31361.669933412111</v>
      </c>
      <c r="AK156" s="16">
        <f>(AL155*$C$15+AL157*(1-$C$15))*EXP(-$C$9*$C$13)</f>
        <v>5893.9469767093688</v>
      </c>
      <c r="AL156" s="15">
        <f>AK157/$C$14</f>
        <v>31361.669933412111</v>
      </c>
      <c r="AM156" s="16">
        <f>(AN155*$C$15+AN157*(1-$C$15))*EXP(-$C$9*$C$13)</f>
        <v>5812.336608360004</v>
      </c>
      <c r="AN156" s="15">
        <f>AM157/$C$14</f>
        <v>31361.669933412111</v>
      </c>
      <c r="AO156" s="16">
        <f>(AP155*$C$15+AP157*(1-$C$15))*EXP(-$C$9*$C$13)</f>
        <v>5730.3865663970064</v>
      </c>
      <c r="AP156" s="15">
        <f>AO157/$C$14</f>
        <v>31361.669933412111</v>
      </c>
      <c r="AQ156" s="16">
        <f>(AR155*$C$15+AR157*(1-$C$15))*EXP(-$C$9*$C$13)</f>
        <v>5648.9618254119232</v>
      </c>
      <c r="AR156" s="15">
        <f>AQ157/$C$14</f>
        <v>31361.669933412111</v>
      </c>
      <c r="AS156" s="16">
        <f>(AT155*$C$15+AT157*(1-$C$15))*EXP(-$C$9*$C$13)</f>
        <v>5569.5863746975965</v>
      </c>
      <c r="AT156" s="15">
        <f>AS157/$C$14</f>
        <v>31361.669933412111</v>
      </c>
      <c r="AU156" s="16">
        <f>(AV155*$C$15+AV157*(1-$C$15))*EXP(-$C$9*$C$13)</f>
        <v>5495.0407957223988</v>
      </c>
      <c r="AV156" s="15">
        <f>AU157/$C$14</f>
        <v>31361.669933412111</v>
      </c>
      <c r="AW156" s="16">
        <f>(AX155*$C$15+AX157*(1-$C$15))*EXP(-$C$9*$C$13)</f>
        <v>5430.6816991102614</v>
      </c>
      <c r="AX156" s="15">
        <f>AW157/$C$14</f>
        <v>31361.669933412111</v>
      </c>
      <c r="AY156" s="16">
        <f>(AZ155*$C$15+AZ157*(1-$C$15))*EXP(-$C$9*$C$13)</f>
        <v>5387.6267159196068</v>
      </c>
      <c r="AZ156" s="15">
        <f>AY157/$C$14</f>
        <v>31361.669933412111</v>
      </c>
      <c r="BA156" s="16">
        <f>(BB155*$C$15+BB157*(1-$C$15))*EXP(-$C$9*$C$13)</f>
        <v>5390.496944947201</v>
      </c>
      <c r="BB156" s="15">
        <f>BA157/$C$14</f>
        <v>31361.669933412111</v>
      </c>
      <c r="BD156" s="23">
        <f t="shared" si="29"/>
        <v>40684.800000000105</v>
      </c>
      <c r="BE156" s="25">
        <v>2865.5354937490692</v>
      </c>
      <c r="BF156" s="25">
        <v>2828.9053167858428</v>
      </c>
      <c r="BG156" s="25">
        <v>2791.8534523967601</v>
      </c>
      <c r="BH156" s="25">
        <v>2754.3676842574623</v>
      </c>
      <c r="BI156" s="25">
        <v>2716.435192320987</v>
      </c>
      <c r="BJ156" s="25">
        <v>2678.0425104235396</v>
      </c>
      <c r="BK156" s="25">
        <v>2639.1754800167923</v>
      </c>
      <c r="BL156" s="25">
        <v>2599.8191995900893</v>
      </c>
      <c r="BM156" s="25">
        <v>2559.9579692872521</v>
      </c>
      <c r="BN156" s="25">
        <v>2519.5752301554726</v>
      </c>
      <c r="BO156" s="25">
        <v>2478.6534973854023</v>
      </c>
      <c r="BP156" s="25">
        <v>2437.1742868109045</v>
      </c>
      <c r="BQ156" s="25">
        <v>2395.1180338315048</v>
      </c>
      <c r="BR156" s="25">
        <v>2352.464003797837</v>
      </c>
      <c r="BS156" s="25">
        <v>2309.1901927564395</v>
      </c>
      <c r="BT156" s="25">
        <v>2265.273217283815</v>
      </c>
      <c r="BU156" s="25">
        <v>2220.6881919412331</v>
      </c>
      <c r="BV156" s="25">
        <v>2175.4085926521389</v>
      </c>
      <c r="BW156" s="25">
        <v>2129.406104031907</v>
      </c>
      <c r="BX156" s="25">
        <v>2082.6504483801282</v>
      </c>
      <c r="BY156" s="25">
        <v>2035.1091936696489</v>
      </c>
      <c r="BZ156" s="25">
        <v>1986.7475374207131</v>
      </c>
      <c r="CA156" s="25">
        <v>1937.5280628326586</v>
      </c>
      <c r="CB156" s="25">
        <v>1887.4104629278957</v>
      </c>
      <c r="CC156" s="25">
        <v>1836.351227754302</v>
      </c>
      <c r="CD156" s="25">
        <v>1784.3032888657572</v>
      </c>
      <c r="CE156" s="25">
        <v>1731.2156143602333</v>
      </c>
      <c r="CF156" s="25">
        <v>1677.0327467063323</v>
      </c>
      <c r="CG156" s="25">
        <v>1621.6942744654452</v>
      </c>
      <c r="CH156" s="25">
        <v>1565.1342278967049</v>
      </c>
      <c r="CI156" s="25">
        <v>1507.2803874841231</v>
      </c>
      <c r="CJ156" s="25">
        <v>1448.0534939727902</v>
      </c>
      <c r="CK156" s="25">
        <v>1387.3663491726218</v>
      </c>
      <c r="CL156" s="25">
        <v>1325.1227997483172</v>
      </c>
      <c r="CM156" s="25">
        <v>1261.2166036549736</v>
      </c>
      <c r="CN156" s="25">
        <v>1195.53019491441</v>
      </c>
      <c r="CO156" s="25">
        <v>1127.9333948722372</v>
      </c>
      <c r="CP156" s="25">
        <v>1058.2821819874182</v>
      </c>
      <c r="CQ156" s="25">
        <v>986.4177571259861</v>
      </c>
      <c r="CR156" s="25">
        <v>912.16638648259664</v>
      </c>
      <c r="CS156" s="25">
        <v>835.34099117075868</v>
      </c>
      <c r="CT156" s="25">
        <v>755.74643689785341</v>
      </c>
      <c r="CU156" s="25">
        <v>673.19251001521661</v>
      </c>
      <c r="CV156" s="25">
        <v>587.52286016148582</v>
      </c>
      <c r="CW156" s="25">
        <v>498.67744654811435</v>
      </c>
      <c r="CX156" s="25">
        <v>406.82623674487928</v>
      </c>
      <c r="CY156" s="25">
        <v>312.65581179522604</v>
      </c>
      <c r="CZ156" s="25">
        <v>217.98160382644471</v>
      </c>
      <c r="DA156" s="25">
        <v>127.01924680207227</v>
      </c>
      <c r="DB156" s="25">
        <v>48.769238473360943</v>
      </c>
      <c r="DC156" s="44">
        <f t="shared" si="32"/>
        <v>0</v>
      </c>
      <c r="DD156" s="5">
        <f t="shared" si="31"/>
        <v>36</v>
      </c>
      <c r="DE156" s="30" cm="1">
        <f t="array" ref="DE156">1/2*(rf-q)*DD156*dt-1/2*(sigma^2)*(DD156^2)*dt</f>
        <v>-0.97946442739726003</v>
      </c>
      <c r="DF156" s="25">
        <f t="shared" si="33"/>
        <v>2.9687820054794516</v>
      </c>
      <c r="DG156" s="6">
        <f t="shared" si="34"/>
        <v>-0.98905127671232862</v>
      </c>
      <c r="DH156" s="5">
        <f t="shared" si="35"/>
        <v>2865.5354937495099</v>
      </c>
      <c r="DI156" s="6">
        <v>2901.7556347945024</v>
      </c>
    </row>
    <row r="157" spans="4:113" x14ac:dyDescent="0.25">
      <c r="F157" s="16">
        <f>(G156*$C$15+G158*(1-$C$15))*EXP(-$C$9*$C$13)</f>
        <v>7849.6871398879393</v>
      </c>
      <c r="G157" s="15">
        <f>F156*$C$14</f>
        <v>30162.914285508963</v>
      </c>
      <c r="H157" s="16">
        <f>(I156*$C$15+I158*(1-$C$15))*EXP(-$C$9*$C$13)</f>
        <v>7794.6775803149576</v>
      </c>
      <c r="I157" s="15">
        <f>H158/$C$14</f>
        <v>30162.914285508963</v>
      </c>
      <c r="J157" s="16">
        <f>(K156*$C$15+K158*(1-$C$15))*EXP(-$C$9*$C$13)</f>
        <v>7738.9611665591847</v>
      </c>
      <c r="K157" s="15">
        <f>J158/$C$14</f>
        <v>30162.914285508963</v>
      </c>
      <c r="L157" s="16">
        <f>(M156*$C$15+M158*(1-$C$15))*EXP(-$C$9*$C$13)</f>
        <v>7682.5323120058583</v>
      </c>
      <c r="M157" s="15">
        <f>L158/$C$14</f>
        <v>30162.914285508963</v>
      </c>
      <c r="N157" s="16">
        <f>(O156*$C$15+O158*(1-$C$15))*EXP(-$C$9*$C$13)</f>
        <v>7625.3887469147367</v>
      </c>
      <c r="O157" s="15">
        <f>N158/$C$14</f>
        <v>30162.914285508963</v>
      </c>
      <c r="P157" s="16">
        <f>(Q156*$C$15+Q158*(1-$C$15))*EXP(-$C$9*$C$13)</f>
        <v>7567.5326531610554</v>
      </c>
      <c r="Q157" s="15">
        <f>P158/$C$14</f>
        <v>30162.914285508963</v>
      </c>
      <c r="R157" s="16">
        <f>(S156*$C$15+S158*(1-$C$15))*EXP(-$C$9*$C$13)</f>
        <v>7508.9721682655781</v>
      </c>
      <c r="S157" s="15">
        <f>R158/$C$14</f>
        <v>30162.914285508963</v>
      </c>
      <c r="T157" s="16">
        <f>(U156*$C$15+U158*(1-$C$15))*EXP(-$C$9*$C$13)</f>
        <v>7449.7233934690767</v>
      </c>
      <c r="U157" s="15">
        <f>T158/$C$14</f>
        <v>30162.914285508963</v>
      </c>
      <c r="V157" s="16">
        <f>(W156*$C$15+W158*(1-$C$15))*EXP(-$C$9*$C$13)</f>
        <v>7389.8130973516381</v>
      </c>
      <c r="W157" s="15">
        <f>V158/$C$14</f>
        <v>30162.914285508963</v>
      </c>
      <c r="X157" s="16">
        <f>(Y156*$C$15+Y158*(1-$C$15))*EXP(-$C$9*$C$13)</f>
        <v>7329.2823909046356</v>
      </c>
      <c r="Y157" s="15">
        <f>X158/$C$14</f>
        <v>30162.914285508963</v>
      </c>
      <c r="Z157" s="16">
        <f>(AA156*$C$15+AA158*(1-$C$15))*EXP(-$C$9*$C$13)</f>
        <v>7268.1917775832671</v>
      </c>
      <c r="AA157" s="15">
        <f>Z158/$C$14</f>
        <v>30162.914285508963</v>
      </c>
      <c r="AB157" s="16">
        <f>(AC156*$C$15+AC158*(1-$C$15))*EXP(-$C$9*$C$13)</f>
        <v>7206.6281782636997</v>
      </c>
      <c r="AC157" s="15">
        <f>AB158/$C$14</f>
        <v>30162.914285508963</v>
      </c>
      <c r="AD157" s="16">
        <f>(AE156*$C$15+AE158*(1-$C$15))*EXP(-$C$9*$C$13)</f>
        <v>7144.7148390984348</v>
      </c>
      <c r="AE157" s="15">
        <f>AD158/$C$14</f>
        <v>30162.914285508963</v>
      </c>
      <c r="AF157" s="16">
        <f>(AG156*$C$15+AG158*(1-$C$15))*EXP(-$C$9*$C$13)</f>
        <v>7082.6255235567423</v>
      </c>
      <c r="AG157" s="15">
        <f>AF158/$C$14</f>
        <v>30162.914285508963</v>
      </c>
      <c r="AH157" s="16">
        <f>(AI156*$C$15+AI158*(1-$C$15))*EXP(-$C$9*$C$13)</f>
        <v>7020.6051973521871</v>
      </c>
      <c r="AI157" s="15">
        <f>AH158/$C$14</f>
        <v>30162.914285508963</v>
      </c>
      <c r="AJ157" s="16">
        <f>(AK156*$C$15+AK158*(1-$C$15))*EXP(-$C$9*$C$13)</f>
        <v>6959.0007672097327</v>
      </c>
      <c r="AK157" s="15">
        <f>AJ158/$C$14</f>
        <v>30162.914285508963</v>
      </c>
      <c r="AL157" s="16">
        <f>(AM156*$C$15+AM158*(1-$C$15))*EXP(-$C$9*$C$13)</f>
        <v>6898.3077517315414</v>
      </c>
      <c r="AM157" s="15">
        <f>AL158/$C$14</f>
        <v>30162.914285508963</v>
      </c>
      <c r="AN157" s="16">
        <f>(AO156*$C$15+AO158*(1-$C$15))*EXP(-$C$9*$C$13)</f>
        <v>6839.2428157503182</v>
      </c>
      <c r="AO157" s="15">
        <f>AN158/$C$14</f>
        <v>30162.914285508963</v>
      </c>
      <c r="AP157" s="16">
        <f>(AQ156*$C$15+AQ158*(1-$C$15))*EXP(-$C$9*$C$13)</f>
        <v>6782.8592708283213</v>
      </c>
      <c r="AQ157" s="15">
        <f>AP158/$C$14</f>
        <v>30162.914285508963</v>
      </c>
      <c r="AR157" s="16">
        <f>(AS156*$C$15+AS158*(1-$C$15))*EXP(-$C$9*$C$13)</f>
        <v>6730.7351280737475</v>
      </c>
      <c r="AS157" s="15">
        <f>AR158/$C$14</f>
        <v>30162.914285508963</v>
      </c>
      <c r="AT157" s="16">
        <f>(AU156*$C$15+AU158*(1-$C$15))*EXP(-$C$9*$C$13)</f>
        <v>6685.2826214313482</v>
      </c>
      <c r="AU157" s="15">
        <f>AT158/$C$14</f>
        <v>30162.914285508963</v>
      </c>
      <c r="AV157" s="16">
        <f>(AW156*$C$15+AW158*(1-$C$15))*EXP(-$C$9*$C$13)</f>
        <v>6650.2402121663144</v>
      </c>
      <c r="AW157" s="15">
        <f>AV158/$C$14</f>
        <v>30162.914285508963</v>
      </c>
      <c r="AX157" s="16">
        <f>(AY156*$C$15+AY158*(1-$C$15))*EXP(-$C$9*$C$13)</f>
        <v>6631.2626458224695</v>
      </c>
      <c r="AY157" s="15">
        <f>AX158/$C$14</f>
        <v>30162.914285508963</v>
      </c>
      <c r="AZ157" s="16">
        <f>(BA156*$C$15+BA158*(1-$C$15))*EXP(-$C$9*$C$13)</f>
        <v>6634.7954151732856</v>
      </c>
      <c r="BA157" s="15">
        <f>AZ158/$C$14</f>
        <v>30162.914285508963</v>
      </c>
      <c r="BB157" s="16">
        <f>MAX(0,$C$8-BB156)</f>
        <v>6638.3300665878887</v>
      </c>
      <c r="BD157" s="23">
        <f t="shared" si="29"/>
        <v>39554.666666666773</v>
      </c>
      <c r="BE157" s="25">
        <v>3261.5098429780842</v>
      </c>
      <c r="BF157" s="25">
        <v>3224.8065953378468</v>
      </c>
      <c r="BG157" s="25">
        <v>3187.662652178517</v>
      </c>
      <c r="BH157" s="25">
        <v>3150.0646004687264</v>
      </c>
      <c r="BI157" s="25">
        <v>3111.9983267601328</v>
      </c>
      <c r="BJ157" s="25">
        <v>3073.4489648382264</v>
      </c>
      <c r="BK157" s="25">
        <v>3034.4008382364077</v>
      </c>
      <c r="BL157" s="25">
        <v>2994.8373969836284</v>
      </c>
      <c r="BM157" s="25">
        <v>2954.7411478635322</v>
      </c>
      <c r="BN157" s="25">
        <v>2914.0935773538208</v>
      </c>
      <c r="BO157" s="25">
        <v>2872.8750662858015</v>
      </c>
      <c r="BP157" s="25">
        <v>2831.0647951120131</v>
      </c>
      <c r="BQ157" s="25">
        <v>2788.6406384891288</v>
      </c>
      <c r="BR157" s="25">
        <v>2745.5790476681391</v>
      </c>
      <c r="BS157" s="25">
        <v>2701.8549189262048</v>
      </c>
      <c r="BT157" s="25">
        <v>2657.4414459651985</v>
      </c>
      <c r="BU157" s="25">
        <v>2612.3099538279102</v>
      </c>
      <c r="BV157" s="25">
        <v>2566.4297114298106</v>
      </c>
      <c r="BW157" s="25">
        <v>2519.7677192515598</v>
      </c>
      <c r="BX157" s="25">
        <v>2472.2884680599791</v>
      </c>
      <c r="BY157" s="25">
        <v>2423.9536636911084</v>
      </c>
      <c r="BZ157" s="25">
        <v>2374.7219118937328</v>
      </c>
      <c r="CA157" s="25">
        <v>2324.5483559434088</v>
      </c>
      <c r="CB157" s="25">
        <v>2273.3842581163672</v>
      </c>
      <c r="CC157" s="25">
        <v>2221.1765140686311</v>
      </c>
      <c r="CD157" s="25">
        <v>2167.8670865619665</v>
      </c>
      <c r="CE157" s="25">
        <v>2113.3923416402731</v>
      </c>
      <c r="CF157" s="25">
        <v>2057.6822660454295</v>
      </c>
      <c r="CG157" s="25">
        <v>2000.6595390375335</v>
      </c>
      <c r="CH157" s="25">
        <v>1942.2384243857061</v>
      </c>
      <c r="CI157" s="25">
        <v>1882.3234384807042</v>
      </c>
      <c r="CJ157" s="25">
        <v>1820.8077373515737</v>
      </c>
      <c r="CK157" s="25">
        <v>1757.5711475445812</v>
      </c>
      <c r="CL157" s="25">
        <v>1692.4777414209088</v>
      </c>
      <c r="CM157" s="25">
        <v>1625.3728236759275</v>
      </c>
      <c r="CN157" s="25">
        <v>1556.079148696937</v>
      </c>
      <c r="CO157" s="25">
        <v>1484.3921217698967</v>
      </c>
      <c r="CP157" s="25">
        <v>1410.0736423907167</v>
      </c>
      <c r="CQ157" s="25">
        <v>1332.844112623173</v>
      </c>
      <c r="CR157" s="25">
        <v>1252.3719411296636</v>
      </c>
      <c r="CS157" s="25">
        <v>1168.2596064588588</v>
      </c>
      <c r="CT157" s="25">
        <v>1080.0249973049422</v>
      </c>
      <c r="CU157" s="25">
        <v>987.07638962134683</v>
      </c>
      <c r="CV157" s="25">
        <v>888.6793917572561</v>
      </c>
      <c r="CW157" s="25">
        <v>783.91581306433352</v>
      </c>
      <c r="CX157" s="25">
        <v>671.64249384561867</v>
      </c>
      <c r="CY157" s="25">
        <v>550.48997931617498</v>
      </c>
      <c r="CZ157" s="25">
        <v>419.05980195326191</v>
      </c>
      <c r="DA157" s="25">
        <v>276.92211575880822</v>
      </c>
      <c r="DB157" s="25">
        <v>128.69463162476117</v>
      </c>
      <c r="DC157" s="44">
        <f t="shared" si="32"/>
        <v>0</v>
      </c>
      <c r="DD157" s="5">
        <f t="shared" si="31"/>
        <v>35</v>
      </c>
      <c r="DE157" s="30" cm="1">
        <f t="array" ref="DE157">1/2*(rf-q)*DD157*dt-1/2*(sigma^2)*(DD157^2)*dt</f>
        <v>-0.92567604452054775</v>
      </c>
      <c r="DF157" s="25">
        <f t="shared" si="33"/>
        <v>2.8609389383561643</v>
      </c>
      <c r="DG157" s="6">
        <f t="shared" si="34"/>
        <v>-0.93499659246575328</v>
      </c>
      <c r="DH157" s="5">
        <f t="shared" si="35"/>
        <v>3261.5098429785648</v>
      </c>
      <c r="DI157" s="6">
        <v>3297.7851554747645</v>
      </c>
    </row>
    <row r="158" spans="4:113" x14ac:dyDescent="0.25">
      <c r="G158" s="16">
        <f>(H157*$C$15+H159*(1-$C$15))*EXP(-$C$9*$C$13)</f>
        <v>8700.9640907238481</v>
      </c>
      <c r="H158" s="15">
        <f>G157*$C$14</f>
        <v>29009.979383326012</v>
      </c>
      <c r="I158" s="16">
        <f>(J157*$C$15+J159*(1-$C$15))*EXP(-$C$9*$C$13)</f>
        <v>8653.6109840544887</v>
      </c>
      <c r="J158" s="15">
        <f>I159/$C$14</f>
        <v>29009.979383326012</v>
      </c>
      <c r="K158" s="16">
        <f>(L157*$C$15+L159*(1-$C$15))*EXP(-$C$9*$C$13)</f>
        <v>8605.9112292704376</v>
      </c>
      <c r="L158" s="15">
        <f>K159/$C$14</f>
        <v>29009.979383326012</v>
      </c>
      <c r="M158" s="16">
        <f>(N157*$C$15+N159*(1-$C$15))*EXP(-$C$9*$C$13)</f>
        <v>8557.8920656910268</v>
      </c>
      <c r="N158" s="15">
        <f>M159/$C$14</f>
        <v>29009.979383326012</v>
      </c>
      <c r="O158" s="16">
        <f>(P157*$C$15+P159*(1-$C$15))*EXP(-$C$9*$C$13)</f>
        <v>8509.5883770223845</v>
      </c>
      <c r="P158" s="15">
        <f>O159/$C$14</f>
        <v>29009.979383326012</v>
      </c>
      <c r="Q158" s="16">
        <f>(R157*$C$15+R159*(1-$C$15))*EXP(-$C$9*$C$13)</f>
        <v>8461.0445643745879</v>
      </c>
      <c r="R158" s="15">
        <f>Q159/$C$14</f>
        <v>29009.979383326012</v>
      </c>
      <c r="S158" s="16">
        <f>(T157*$C$15+T159*(1-$C$15))*EXP(-$C$9*$C$13)</f>
        <v>8412.3169388183087</v>
      </c>
      <c r="T158" s="15">
        <f>S159/$C$14</f>
        <v>29009.979383326012</v>
      </c>
      <c r="U158" s="16">
        <f>(V157*$C$15+V159*(1-$C$15))*EXP(-$C$9*$C$13)</f>
        <v>8363.4768010814787</v>
      </c>
      <c r="V158" s="15">
        <f>U159/$C$14</f>
        <v>29009.979383326012</v>
      </c>
      <c r="W158" s="16">
        <f>(X157*$C$15+X159*(1-$C$15))*EXP(-$C$9*$C$13)</f>
        <v>8314.6144384169274</v>
      </c>
      <c r="X158" s="15">
        <f>W159/$C$14</f>
        <v>29009.979383326012</v>
      </c>
      <c r="Y158" s="16">
        <f>(Z157*$C$15+Z159*(1-$C$15))*EXP(-$C$9*$C$13)</f>
        <v>8265.8443574501871</v>
      </c>
      <c r="Z158" s="15">
        <f>Y159/$C$14</f>
        <v>29009.979383326012</v>
      </c>
      <c r="AA158" s="16">
        <f>(AB157*$C$15+AB159*(1-$C$15))*EXP(-$C$9*$C$13)</f>
        <v>8217.312199139069</v>
      </c>
      <c r="AB158" s="15">
        <f>AA159/$C$14</f>
        <v>29009.979383326012</v>
      </c>
      <c r="AC158" s="16">
        <f>(AD157*$C$15+AD159*(1-$C$15))*EXP(-$C$9*$C$13)</f>
        <v>8169.2039658213216</v>
      </c>
      <c r="AD158" s="15">
        <f>AC159/$C$14</f>
        <v>29009.979383326012</v>
      </c>
      <c r="AE158" s="16">
        <f>(AF157*$C$15+AF159*(1-$C$15))*EXP(-$C$9*$C$13)</f>
        <v>8121.7584566794976</v>
      </c>
      <c r="AF158" s="15">
        <f>AE159/$C$14</f>
        <v>29009.979383326012</v>
      </c>
      <c r="AG158" s="16">
        <f>(AH157*$C$15+AH159*(1-$C$15))*EXP(-$C$9*$C$13)</f>
        <v>8075.2841924957584</v>
      </c>
      <c r="AH158" s="15">
        <f>AG159/$C$14</f>
        <v>29009.979383326012</v>
      </c>
      <c r="AI158" s="16">
        <f>(AJ157*$C$15+AJ159*(1-$C$15))*EXP(-$C$9*$C$13)</f>
        <v>8030.1826559403462</v>
      </c>
      <c r="AJ158" s="15">
        <f>AI159/$C$14</f>
        <v>29009.979383326012</v>
      </c>
      <c r="AK158" s="16">
        <f>(AL157*$C$15+AL159*(1-$C$15))*EXP(-$C$9*$C$13)</f>
        <v>7986.98040847845</v>
      </c>
      <c r="AL158" s="15">
        <f>AK159/$C$14</f>
        <v>29009.979383326012</v>
      </c>
      <c r="AM158" s="16">
        <f>(AN157*$C$15+AN159*(1-$C$15))*EXP(-$C$9*$C$13)</f>
        <v>7946.3734978335942</v>
      </c>
      <c r="AN158" s="15">
        <f>AM159/$C$14</f>
        <v>29009.979383326012</v>
      </c>
      <c r="AO158" s="16">
        <f>(AP157*$C$15+AP159*(1-$C$15))*EXP(-$C$9*$C$13)</f>
        <v>7909.2880558666639</v>
      </c>
      <c r="AP158" s="15">
        <f>AO159/$C$14</f>
        <v>29009.979383326012</v>
      </c>
      <c r="AQ158" s="16">
        <f>(AR157*$C$15+AR159*(1-$C$15))*EXP(-$C$9*$C$13)</f>
        <v>7876.9590825435125</v>
      </c>
      <c r="AR158" s="15">
        <f>AQ159/$C$14</f>
        <v>29009.979383326012</v>
      </c>
      <c r="AS158" s="16">
        <f>(AT157*$C$15+AT159*(1-$C$15))*EXP(-$C$9*$C$13)</f>
        <v>7851.0173703801647</v>
      </c>
      <c r="AT158" s="15">
        <f>AS159/$C$14</f>
        <v>29009.979383326012</v>
      </c>
      <c r="AU158" s="16">
        <f>(AV157*$C$15+AV159*(1-$C$15))*EXP(-$C$9*$C$13)</f>
        <v>7833.5221457389798</v>
      </c>
      <c r="AV158" s="15">
        <f>AU159/$C$14</f>
        <v>29009.979383326012</v>
      </c>
      <c r="AW158" s="16">
        <f>(AX157*$C$15+AX159*(1-$C$15))*EXP(-$C$9*$C$13)</f>
        <v>7826.6575253268556</v>
      </c>
      <c r="AX158" s="15">
        <f>AW159/$C$14</f>
        <v>29009.979383326012</v>
      </c>
      <c r="AY158" s="16">
        <f>(AZ157*$C$15+AZ159*(1-$C$15))*EXP(-$C$9*$C$13)</f>
        <v>7830.8271348419057</v>
      </c>
      <c r="AZ158" s="15">
        <f>AY159/$C$14</f>
        <v>29009.979383326012</v>
      </c>
      <c r="BA158" s="16">
        <f>(BB157*$C$15+BB159*(1-$C$15))*EXP(-$C$9*$C$13)</f>
        <v>7834.9989656938978</v>
      </c>
      <c r="BB158" s="15">
        <f>BA159/$C$14</f>
        <v>29009.979383326012</v>
      </c>
      <c r="BD158" s="23">
        <f t="shared" si="29"/>
        <v>38424.533333333442</v>
      </c>
      <c r="BE158" s="25">
        <v>3702.0597111805896</v>
      </c>
      <c r="BF158" s="25">
        <v>3665.7481778577999</v>
      </c>
      <c r="BG158" s="25">
        <v>3628.9911127355817</v>
      </c>
      <c r="BH158" s="25">
        <v>3591.7746468218393</v>
      </c>
      <c r="BI158" s="25">
        <v>3554.0841693904372</v>
      </c>
      <c r="BJ158" s="25">
        <v>3515.9042711108918</v>
      </c>
      <c r="BK158" s="25">
        <v>3477.2186814441588</v>
      </c>
      <c r="BL158" s="25">
        <v>3438.0101995793743</v>
      </c>
      <c r="BM158" s="25">
        <v>3398.26061807821</v>
      </c>
      <c r="BN158" s="25">
        <v>3357.9506382628983</v>
      </c>
      <c r="BO158" s="25">
        <v>3317.059776229667</v>
      </c>
      <c r="BP158" s="25">
        <v>3275.5662581857814</v>
      </c>
      <c r="BQ158" s="25">
        <v>3233.4469035891966</v>
      </c>
      <c r="BR158" s="25">
        <v>3190.6769943068643</v>
      </c>
      <c r="BS158" s="25">
        <v>3147.2301276910134</v>
      </c>
      <c r="BT158" s="25">
        <v>3103.0780510891641</v>
      </c>
      <c r="BU158" s="25">
        <v>3058.1904748369429</v>
      </c>
      <c r="BV158" s="25">
        <v>3012.534860212008</v>
      </c>
      <c r="BW158" s="25">
        <v>2966.0761781253873</v>
      </c>
      <c r="BX158" s="25">
        <v>2918.7766334570715</v>
      </c>
      <c r="BY158" s="25">
        <v>2870.5953488624114</v>
      </c>
      <c r="BZ158" s="25">
        <v>2821.488000518902</v>
      </c>
      <c r="CA158" s="25">
        <v>2771.4063965726186</v>
      </c>
      <c r="CB158" s="25">
        <v>2720.2979868670441</v>
      </c>
      <c r="CC158" s="25">
        <v>2668.1052897480117</v>
      </c>
      <c r="CD158" s="25">
        <v>2614.7652181320091</v>
      </c>
      <c r="CE158" s="25">
        <v>2560.2082823195483</v>
      </c>
      <c r="CF158" s="25">
        <v>2504.3576408350982</v>
      </c>
      <c r="CG158" s="25">
        <v>2447.127962318064</v>
      </c>
      <c r="CH158" s="25">
        <v>2388.4240503666074</v>
      </c>
      <c r="CI158" s="25">
        <v>2328.1391680678116</v>
      </c>
      <c r="CJ158" s="25">
        <v>2266.1529779769644</v>
      </c>
      <c r="CK158" s="25">
        <v>2202.328983892749</v>
      </c>
      <c r="CL158" s="25">
        <v>2136.5113188355003</v>
      </c>
      <c r="CM158" s="25">
        <v>2068.5206627732118</v>
      </c>
      <c r="CN158" s="25">
        <v>1998.1489835620957</v>
      </c>
      <c r="CO158" s="25">
        <v>1925.1526583030152</v>
      </c>
      <c r="CP158" s="25">
        <v>1849.243321083698</v>
      </c>
      <c r="CQ158" s="25">
        <v>1770.0754464495244</v>
      </c>
      <c r="CR158" s="25">
        <v>1687.2291244284129</v>
      </c>
      <c r="CS158" s="25">
        <v>1600.1855394211211</v>
      </c>
      <c r="CT158" s="25">
        <v>1508.2909885842541</v>
      </c>
      <c r="CU158" s="25">
        <v>1410.7021470789612</v>
      </c>
      <c r="CV158" s="25">
        <v>1306.2991069496425</v>
      </c>
      <c r="CW158" s="25">
        <v>1193.5396550673649</v>
      </c>
      <c r="CX158" s="25">
        <v>1070.1984185107704</v>
      </c>
      <c r="CY158" s="25">
        <v>932.86015287496866</v>
      </c>
      <c r="CZ158" s="25">
        <v>775.83333456916591</v>
      </c>
      <c r="DA158" s="25">
        <v>588.54290605116466</v>
      </c>
      <c r="DB158" s="25">
        <v>348.48953139973696</v>
      </c>
      <c r="DC158" s="44">
        <f t="shared" si="32"/>
        <v>0</v>
      </c>
      <c r="DD158" s="5">
        <f t="shared" si="31"/>
        <v>34</v>
      </c>
      <c r="DE158" s="30" cm="1">
        <f t="array" ref="DE158">1/2*(rf-q)*DD158*dt-1/2*(sigma^2)*(DD158^2)*dt</f>
        <v>-0.87340657808219158</v>
      </c>
      <c r="DF158" s="25">
        <f t="shared" si="33"/>
        <v>2.7561337041095886</v>
      </c>
      <c r="DG158" s="6">
        <f t="shared" si="34"/>
        <v>-0.88246082465753417</v>
      </c>
      <c r="DH158" s="5">
        <f t="shared" si="35"/>
        <v>3702.0597111810389</v>
      </c>
      <c r="DI158" s="6">
        <v>3737.938891724405</v>
      </c>
    </row>
    <row r="159" spans="4:113" x14ac:dyDescent="0.25">
      <c r="H159" s="16">
        <f>(I158*$C$15+I160*(1-$C$15))*EXP(-$C$9*$C$13)</f>
        <v>9577.1552716829756</v>
      </c>
      <c r="I159" s="15">
        <f>H158*$C$14</f>
        <v>27901.11379341473</v>
      </c>
      <c r="J159" s="16">
        <f>(K158*$C$15+K160*(1-$C$15))*EXP(-$C$9*$C$13)</f>
        <v>9537.8210547881208</v>
      </c>
      <c r="K159" s="15">
        <f>J160/$C$14</f>
        <v>27901.11379341473</v>
      </c>
      <c r="L159" s="16">
        <f>(M158*$C$15+M160*(1-$C$15))*EXP(-$C$9*$C$13)</f>
        <v>9498.4918194301772</v>
      </c>
      <c r="M159" s="15">
        <f>L160/$C$14</f>
        <v>27901.11379341473</v>
      </c>
      <c r="N159" s="16">
        <f>(O158*$C$15+O160*(1-$C$15))*EXP(-$C$9*$C$13)</f>
        <v>9459.2232002781857</v>
      </c>
      <c r="O159" s="15">
        <f>N160/$C$14</f>
        <v>27901.11379341473</v>
      </c>
      <c r="P159" s="16">
        <f>(Q158*$C$15+Q160*(1-$C$15))*EXP(-$C$9*$C$13)</f>
        <v>9420.08155111425</v>
      </c>
      <c r="Q159" s="15">
        <f>P160/$C$14</f>
        <v>27901.11379341473</v>
      </c>
      <c r="R159" s="16">
        <f>(S158*$C$15+S160*(1-$C$15))*EXP(-$C$9*$C$13)</f>
        <v>9381.1461737124464</v>
      </c>
      <c r="S159" s="15">
        <f>R160/$C$14</f>
        <v>27901.11379341473</v>
      </c>
      <c r="T159" s="16">
        <f>(U158*$C$15+U160*(1-$C$15))*EXP(-$C$9*$C$13)</f>
        <v>9342.5120814313977</v>
      </c>
      <c r="U159" s="15">
        <f>T160/$C$14</f>
        <v>27901.11379341473</v>
      </c>
      <c r="V159" s="16">
        <f>(W158*$C$15+W160*(1-$C$15))*EXP(-$C$9*$C$13)</f>
        <v>9304.2934422224316</v>
      </c>
      <c r="W159" s="15">
        <f>V160/$C$14</f>
        <v>27901.11379341473</v>
      </c>
      <c r="X159" s="16">
        <f>(Y158*$C$15+Y160*(1-$C$15))*EXP(-$C$9*$C$13)</f>
        <v>9266.6278870810056</v>
      </c>
      <c r="Y159" s="15">
        <f>X160/$C$14</f>
        <v>27901.11379341473</v>
      </c>
      <c r="Z159" s="16">
        <f>(AA158*$C$15+AA160*(1-$C$15))*EXP(-$C$9*$C$13)</f>
        <v>9229.6819214368261</v>
      </c>
      <c r="AA159" s="15">
        <f>Z160/$C$14</f>
        <v>27901.11379341473</v>
      </c>
      <c r="AB159" s="16">
        <f>(AC158*$C$15+AC160*(1-$C$15))*EXP(-$C$9*$C$13)</f>
        <v>9193.6577379333921</v>
      </c>
      <c r="AC159" s="15">
        <f>AB160/$C$14</f>
        <v>27901.11379341473</v>
      </c>
      <c r="AD159" s="16">
        <f>(AE158*$C$15+AE160*(1-$C$15))*EXP(-$C$9*$C$13)</f>
        <v>9158.8017935119115</v>
      </c>
      <c r="AE159" s="15">
        <f>AD160/$C$14</f>
        <v>27901.11379341473</v>
      </c>
      <c r="AF159" s="16">
        <f>(AG158*$C$15+AG160*(1-$C$15))*EXP(-$C$9*$C$13)</f>
        <v>9125.4155619406811</v>
      </c>
      <c r="AG159" s="15">
        <f>AF160/$C$14</f>
        <v>27901.11379341473</v>
      </c>
      <c r="AH159" s="16">
        <f>(AI158*$C$15+AI160*(1-$C$15))*EXP(-$C$9*$C$13)</f>
        <v>9093.8688509675503</v>
      </c>
      <c r="AI159" s="15">
        <f>AH160/$C$14</f>
        <v>27901.11379341473</v>
      </c>
      <c r="AJ159" s="16">
        <f>(AK158*$C$15+AK160*(1-$C$15))*EXP(-$C$9*$C$13)</f>
        <v>9064.6158428914368</v>
      </c>
      <c r="AK159" s="15">
        <f>AJ160/$C$14</f>
        <v>27901.11379341473</v>
      </c>
      <c r="AL159" s="16">
        <f>(AM158*$C$15+AM160*(1-$C$15))*EXP(-$C$9*$C$13)</f>
        <v>9038.2132305956929</v>
      </c>
      <c r="AM159" s="15">
        <f>AL160/$C$14</f>
        <v>27901.11379341473</v>
      </c>
      <c r="AN159" s="16">
        <f>(AO158*$C$15+AO160*(1-$C$15))*EXP(-$C$9*$C$13)</f>
        <v>9015.3375964348998</v>
      </c>
      <c r="AO159" s="15">
        <f>AN160/$C$14</f>
        <v>27901.11379341473</v>
      </c>
      <c r="AP159" s="16">
        <f>(AQ158*$C$15+AQ160*(1-$C$15))*EXP(-$C$9*$C$13)</f>
        <v>8996.7932377311663</v>
      </c>
      <c r="AQ159" s="15">
        <f>AP160/$C$14</f>
        <v>27901.11379341473</v>
      </c>
      <c r="AR159" s="16">
        <f>(AS158*$C$15+AS160*(1-$C$15))*EXP(-$C$9*$C$13)</f>
        <v>8983.4858997048814</v>
      </c>
      <c r="AS159" s="15">
        <f>AR160/$C$14</f>
        <v>27901.11379341473</v>
      </c>
      <c r="AT159" s="16">
        <f>(AU158*$C$15+AU160*(1-$C$15))*EXP(-$C$9*$C$13)</f>
        <v>8976.295655019172</v>
      </c>
      <c r="AU159" s="15">
        <f>AT160/$C$14</f>
        <v>27901.11379341473</v>
      </c>
      <c r="AV159" s="16">
        <f>(AW158*$C$15+AW160*(1-$C$15))*EXP(-$C$9*$C$13)</f>
        <v>8975.6677574538571</v>
      </c>
      <c r="AW159" s="15">
        <f>AV160/$C$14</f>
        <v>27901.11379341473</v>
      </c>
      <c r="AX159" s="16">
        <f>(AY158*$C$15+AY160*(1-$C$15))*EXP(-$C$9*$C$13)</f>
        <v>8980.4494959628282</v>
      </c>
      <c r="AY159" s="15">
        <f>AX160/$C$14</f>
        <v>27901.11379341473</v>
      </c>
      <c r="AZ159" s="16">
        <f>(BA158*$C$15+BA160*(1-$C$15))*EXP(-$C$9*$C$13)</f>
        <v>8985.2337819171607</v>
      </c>
      <c r="BA159" s="15">
        <f>AZ160/$C$14</f>
        <v>27901.11379341473</v>
      </c>
      <c r="BB159" s="16">
        <f>MAX(0,$C$8-BB158)</f>
        <v>8990.0206166739881</v>
      </c>
      <c r="BD159" s="23">
        <f t="shared" si="29"/>
        <v>37294.400000000111</v>
      </c>
      <c r="BE159" s="25">
        <v>4189.8799401363149</v>
      </c>
      <c r="BF159" s="25">
        <v>4154.4632186315184</v>
      </c>
      <c r="BG159" s="25">
        <v>4118.6118222622654</v>
      </c>
      <c r="BH159" s="25">
        <v>4082.3122663629024</v>
      </c>
      <c r="BI159" s="25">
        <v>4045.5503476753938</v>
      </c>
      <c r="BJ159" s="25">
        <v>4008.3110894586971</v>
      </c>
      <c r="BK159" s="25">
        <v>3970.5786810893433</v>
      </c>
      <c r="BL159" s="25">
        <v>3932.3364114553606</v>
      </c>
      <c r="BM159" s="25">
        <v>3893.5665953469784</v>
      </c>
      <c r="BN159" s="25">
        <v>3854.2504919226199</v>
      </c>
      <c r="BO159" s="25">
        <v>3814.3682141817717</v>
      </c>
      <c r="BP159" s="25">
        <v>3773.8986282019259</v>
      </c>
      <c r="BQ159" s="25">
        <v>3732.819240688495</v>
      </c>
      <c r="BR159" s="25">
        <v>3691.1060731372149</v>
      </c>
      <c r="BS159" s="25">
        <v>3648.7335206081571</v>
      </c>
      <c r="BT159" s="25">
        <v>3605.6741927472867</v>
      </c>
      <c r="BU159" s="25">
        <v>3561.8987342500045</v>
      </c>
      <c r="BV159" s="25">
        <v>3517.3756214217588</v>
      </c>
      <c r="BW159" s="25">
        <v>3472.0709308294017</v>
      </c>
      <c r="BX159" s="25">
        <v>3425.9480752144054</v>
      </c>
      <c r="BY159" s="25">
        <v>3378.9675008269223</v>
      </c>
      <c r="BZ159" s="25">
        <v>3331.0863390613604</v>
      </c>
      <c r="CA159" s="25">
        <v>3282.2580036710383</v>
      </c>
      <c r="CB159" s="25">
        <v>3232.4317228017244</v>
      </c>
      <c r="CC159" s="25">
        <v>3181.551992477458</v>
      </c>
      <c r="CD159" s="25">
        <v>3129.557934809407</v>
      </c>
      <c r="CE159" s="25">
        <v>3076.3825398214467</v>
      </c>
      <c r="CF159" s="25">
        <v>3021.9517640335857</v>
      </c>
      <c r="CG159" s="25">
        <v>2966.1834513057024</v>
      </c>
      <c r="CH159" s="25">
        <v>2908.9860311874322</v>
      </c>
      <c r="CI159" s="25">
        <v>2850.2569360818143</v>
      </c>
      <c r="CJ159" s="25">
        <v>2789.8806593396639</v>
      </c>
      <c r="CK159" s="25">
        <v>2727.7263496037226</v>
      </c>
      <c r="CL159" s="25">
        <v>2663.6447987147694</v>
      </c>
      <c r="CM159" s="25">
        <v>2597.4646256717765</v>
      </c>
      <c r="CN159" s="25">
        <v>2528.9873785742261</v>
      </c>
      <c r="CO159" s="25">
        <v>2457.9811556301784</v>
      </c>
      <c r="CP159" s="25">
        <v>2384.1721608846588</v>
      </c>
      <c r="CQ159" s="25">
        <v>2307.2333185394873</v>
      </c>
      <c r="CR159" s="25">
        <v>2226.7685976156258</v>
      </c>
      <c r="CS159" s="25">
        <v>2142.2909108631284</v>
      </c>
      <c r="CT159" s="25">
        <v>2053.1900919824247</v>
      </c>
      <c r="CU159" s="25">
        <v>1958.6850216377034</v>
      </c>
      <c r="CV159" s="25">
        <v>1857.7494526106686</v>
      </c>
      <c r="CW159" s="25">
        <v>1748.992388524633</v>
      </c>
      <c r="CX159" s="25">
        <v>1630.4566798662609</v>
      </c>
      <c r="CY159" s="25">
        <v>1499.2652514165281</v>
      </c>
      <c r="CZ159" s="25">
        <v>1350.9786476591655</v>
      </c>
      <c r="DA159" s="25">
        <v>1178.4208127949971</v>
      </c>
      <c r="DB159" s="25">
        <v>969.66955999718823</v>
      </c>
      <c r="DC159" s="44">
        <f t="shared" si="32"/>
        <v>705.59999999999854</v>
      </c>
      <c r="DD159" s="5">
        <f t="shared" si="31"/>
        <v>33</v>
      </c>
      <c r="DE159" s="30" cm="1">
        <f t="array" ref="DE159">1/2*(rf-q)*DD159*dt-1/2*(sigma^2)*(DD159^2)*dt</f>
        <v>-0.82265602808219151</v>
      </c>
      <c r="DF159" s="25">
        <f t="shared" si="33"/>
        <v>2.6543663027397257</v>
      </c>
      <c r="DG159" s="6">
        <f t="shared" si="34"/>
        <v>-0.83144397328767106</v>
      </c>
      <c r="DH159" s="5">
        <f t="shared" si="35"/>
        <v>3484.279940134852</v>
      </c>
      <c r="DI159" s="6">
        <v>4224.8748028226455</v>
      </c>
    </row>
    <row r="160" spans="4:113" x14ac:dyDescent="0.25">
      <c r="I160" s="16">
        <f>(J159*$C$15+J161*(1-$C$15))*EXP(-$C$9*$C$13)</f>
        <v>10470.402379674233</v>
      </c>
      <c r="J160" s="15">
        <f>I159*$C$14</f>
        <v>26834.633028402564</v>
      </c>
      <c r="K160" s="16">
        <f>(L159*$C$15+L161*(1-$C$15))*EXP(-$C$9*$C$13)</f>
        <v>10439.093387903651</v>
      </c>
      <c r="L160" s="15">
        <f>K161/$C$14</f>
        <v>26834.633028402564</v>
      </c>
      <c r="M160" s="16">
        <f>(N159*$C$15+N161*(1-$C$15))*EXP(-$C$9*$C$13)</f>
        <v>10408.101371241657</v>
      </c>
      <c r="N160" s="15">
        <f>M161/$C$14</f>
        <v>26834.633028402564</v>
      </c>
      <c r="O160" s="16">
        <f>(P159*$C$15+P161*(1-$C$15))*EXP(-$C$9*$C$13)</f>
        <v>10377.501951212611</v>
      </c>
      <c r="P160" s="15">
        <f>O161/$C$14</f>
        <v>26834.633028402564</v>
      </c>
      <c r="Q160" s="16">
        <f>(R159*$C$15+R161*(1-$C$15))*EXP(-$C$9*$C$13)</f>
        <v>10347.38262983011</v>
      </c>
      <c r="R160" s="15">
        <f>Q161/$C$14</f>
        <v>26834.633028402564</v>
      </c>
      <c r="S160" s="16">
        <f>(T159*$C$15+T161*(1-$C$15))*EXP(-$C$9*$C$13)</f>
        <v>10317.844862219024</v>
      </c>
      <c r="T160" s="15">
        <f>S161/$C$14</f>
        <v>26834.633028402564</v>
      </c>
      <c r="U160" s="16">
        <f>(V159*$C$15+V161*(1-$C$15))*EXP(-$C$9*$C$13)</f>
        <v>10289.006517630613</v>
      </c>
      <c r="V160" s="15">
        <f>U161/$C$14</f>
        <v>26834.633028402564</v>
      </c>
      <c r="W160" s="16">
        <f>(X159*$C$15+X161*(1-$C$15))*EXP(-$C$9*$C$13)</f>
        <v>10261.004791560636</v>
      </c>
      <c r="X160" s="15">
        <f>W161/$C$14</f>
        <v>26834.633028402564</v>
      </c>
      <c r="Y160" s="16">
        <f>(Z159*$C$15+Z161*(1-$C$15))*EXP(-$C$9*$C$13)</f>
        <v>10233.999627389299</v>
      </c>
      <c r="Z160" s="15">
        <f>Y161/$C$14</f>
        <v>26834.633028402564</v>
      </c>
      <c r="AA160" s="16">
        <f>(AB159*$C$15+AB161*(1-$C$15))*EXP(-$C$9*$C$13)</f>
        <v>10208.177684501128</v>
      </c>
      <c r="AB160" s="15">
        <f>AA161/$C$14</f>
        <v>26834.633028402564</v>
      </c>
      <c r="AC160" s="16">
        <f>(AD159*$C$15+AD161*(1-$C$15))*EXP(-$C$9*$C$13)</f>
        <v>10183.756832638048</v>
      </c>
      <c r="AD160" s="15">
        <f>AC161/$C$14</f>
        <v>26834.633028402564</v>
      </c>
      <c r="AE160" s="16">
        <f>(AF159*$C$15+AF161*(1-$C$15))*EXP(-$C$9*$C$13)</f>
        <v>10160.991022565</v>
      </c>
      <c r="AF160" s="15">
        <f>AE161/$C$14</f>
        <v>26834.633028402564</v>
      </c>
      <c r="AG160" s="16">
        <f>(AH159*$C$15+AH161*(1-$C$15))*EXP(-$C$9*$C$13)</f>
        <v>10140.17510791661</v>
      </c>
      <c r="AH160" s="15">
        <f>AG161/$C$14</f>
        <v>26834.633028402564</v>
      </c>
      <c r="AI160" s="16">
        <f>(AJ159*$C$15+AJ161*(1-$C$15))*EXP(-$C$9*$C$13)</f>
        <v>10121.648625469694</v>
      </c>
      <c r="AJ160" s="15">
        <f>AI161/$C$14</f>
        <v>26834.633028402564</v>
      </c>
      <c r="AK160" s="16">
        <f>(AL159*$C$15+AL161*(1-$C$15))*EXP(-$C$9*$C$13)</f>
        <v>10105.796382255774</v>
      </c>
      <c r="AL160" s="15">
        <f>AK161/$C$14</f>
        <v>26834.633028402564</v>
      </c>
      <c r="AM160" s="16">
        <f>(AN159*$C$15+AN161*(1-$C$15))*EXP(-$C$9*$C$13)</f>
        <v>10093.04133382876</v>
      </c>
      <c r="AN160" s="15">
        <f>AM161/$C$14</f>
        <v>26834.633028402564</v>
      </c>
      <c r="AO160" s="16">
        <f>(AP159*$C$15+AP161*(1-$C$15))*EXP(-$C$9*$C$13)</f>
        <v>10083.820405224978</v>
      </c>
      <c r="AP160" s="15">
        <f>AO161/$C$14</f>
        <v>26834.633028402564</v>
      </c>
      <c r="AQ160" s="16">
        <f>(AR159*$C$15+AR161*(1-$C$15))*EXP(-$C$9*$C$13)</f>
        <v>10078.524074364506</v>
      </c>
      <c r="AR160" s="15">
        <f>AQ161/$C$14</f>
        <v>26834.633028402564</v>
      </c>
      <c r="AS160" s="16">
        <f>(AT159*$C$15+AT161*(1-$C$15))*EXP(-$C$9*$C$13)</f>
        <v>10077.361226329278</v>
      </c>
      <c r="AT160" s="15">
        <f>AS161/$C$14</f>
        <v>26834.633028402564</v>
      </c>
      <c r="AU160" s="16">
        <f>(AV159*$C$15+AV161*(1-$C$15))*EXP(-$C$9*$C$13)</f>
        <v>10080.078311404119</v>
      </c>
      <c r="AV160" s="15">
        <f>AU161/$C$14</f>
        <v>26834.633028402564</v>
      </c>
      <c r="AW160" s="16">
        <f>(AX159*$C$15+AX161*(1-$C$15))*EXP(-$C$9*$C$13)</f>
        <v>10085.448418669404</v>
      </c>
      <c r="AX160" s="15">
        <f>AW161/$C$14</f>
        <v>26834.633028402564</v>
      </c>
      <c r="AY160" s="16">
        <f>(AZ159*$C$15+AZ161*(1-$C$15))*EXP(-$C$9*$C$13)</f>
        <v>10090.821386830323</v>
      </c>
      <c r="AZ160" s="15">
        <f>AY161/$C$14</f>
        <v>26834.633028402564</v>
      </c>
      <c r="BA160" s="16">
        <f>(BB159*$C$15+BB161*(1-$C$15))*EXP(-$C$9*$C$13)</f>
        <v>10096.197217411007</v>
      </c>
      <c r="BB160" s="15">
        <f>BA161/$C$14</f>
        <v>26834.633028402564</v>
      </c>
      <c r="BD160" s="23">
        <f t="shared" si="29"/>
        <v>36164.266666666779</v>
      </c>
      <c r="BE160" s="25">
        <v>4727.3192423409482</v>
      </c>
      <c r="BF160" s="25">
        <v>4693.3238065210116</v>
      </c>
      <c r="BG160" s="25">
        <v>4658.9209196597303</v>
      </c>
      <c r="BH160" s="25">
        <v>4624.0983546663092</v>
      </c>
      <c r="BI160" s="25">
        <v>4588.8432557297429</v>
      </c>
      <c r="BJ160" s="25">
        <v>4553.1420921179288</v>
      </c>
      <c r="BK160" s="25">
        <v>4516.9806075291635</v>
      </c>
      <c r="BL160" s="25">
        <v>4480.3437644607766</v>
      </c>
      <c r="BM160" s="25">
        <v>4443.2156829848591</v>
      </c>
      <c r="BN160" s="25">
        <v>4405.5795732304705</v>
      </c>
      <c r="BO160" s="25">
        <v>4367.4176607661848</v>
      </c>
      <c r="BP160" s="25">
        <v>4328.711103952357</v>
      </c>
      <c r="BQ160" s="25">
        <v>4289.4399021855961</v>
      </c>
      <c r="BR160" s="25">
        <v>4249.5827937837112</v>
      </c>
      <c r="BS160" s="25">
        <v>4209.1171420520341</v>
      </c>
      <c r="BT160" s="25">
        <v>4168.0188078244119</v>
      </c>
      <c r="BU160" s="25">
        <v>4126.2620064750163</v>
      </c>
      <c r="BV160" s="25">
        <v>4083.8191470374404</v>
      </c>
      <c r="BW160" s="25">
        <v>4040.660650643315</v>
      </c>
      <c r="BX160" s="25">
        <v>3996.7547449471454</v>
      </c>
      <c r="BY160" s="25">
        <v>3952.0672305845064</v>
      </c>
      <c r="BZ160" s="25">
        <v>3906.5612149060757</v>
      </c>
      <c r="CA160" s="25">
        <v>3860.1968072631576</v>
      </c>
      <c r="CB160" s="25">
        <v>3812.9307689133211</v>
      </c>
      <c r="CC160" s="25">
        <v>3764.7161091114863</v>
      </c>
      <c r="CD160" s="25">
        <v>3715.5016170675372</v>
      </c>
      <c r="CE160" s="25">
        <v>3665.2313170769753</v>
      </c>
      <c r="CF160" s="25">
        <v>3613.8438311219466</v>
      </c>
      <c r="CG160" s="25">
        <v>3561.2716294061083</v>
      </c>
      <c r="CH160" s="25">
        <v>3507.4401443773727</v>
      </c>
      <c r="CI160" s="25">
        <v>3452.2667174777816</v>
      </c>
      <c r="CJ160" s="25">
        <v>3395.6593397092556</v>
      </c>
      <c r="CK160" s="25">
        <v>3337.5151365685942</v>
      </c>
      <c r="CL160" s="25">
        <v>3277.7185342986277</v>
      </c>
      <c r="CM160" s="25">
        <v>3216.1390269649505</v>
      </c>
      <c r="CN160" s="25">
        <v>3152.6284418572873</v>
      </c>
      <c r="CO160" s="25">
        <v>3087.0175739238243</v>
      </c>
      <c r="CP160" s="25">
        <v>3019.1120298176402</v>
      </c>
      <c r="CQ160" s="25">
        <v>2948.6870947917205</v>
      </c>
      <c r="CR160" s="25">
        <v>2875.4814294615248</v>
      </c>
      <c r="CS160" s="25">
        <v>2799.1894679874636</v>
      </c>
      <c r="CT160" s="25">
        <v>2719.4526543890356</v>
      </c>
      <c r="CU160" s="25">
        <v>2635.8504577763374</v>
      </c>
      <c r="CV160" s="25">
        <v>2547.8943398986867</v>
      </c>
      <c r="CW160" s="25">
        <v>2455.0338877412264</v>
      </c>
      <c r="CX160" s="25">
        <v>2356.700645498795</v>
      </c>
      <c r="CY160" s="25">
        <v>2252.4597149811511</v>
      </c>
      <c r="CZ160" s="25">
        <v>2142.4621893042809</v>
      </c>
      <c r="DA160" s="25">
        <v>2028.7342786100764</v>
      </c>
      <c r="DB160" s="25">
        <v>1918.7954993689486</v>
      </c>
      <c r="DC160" s="44">
        <f t="shared" si="32"/>
        <v>1835.7333333333299</v>
      </c>
      <c r="DD160" s="5">
        <f t="shared" si="31"/>
        <v>32</v>
      </c>
      <c r="DE160" s="30" cm="1">
        <f t="array" ref="DE160">1/2*(rf-q)*DD160*dt-1/2*(sigma^2)*(DD160^2)*dt</f>
        <v>-0.77342439452054779</v>
      </c>
      <c r="DF160" s="25">
        <f t="shared" si="33"/>
        <v>2.5556367342465753</v>
      </c>
      <c r="DG160" s="6">
        <f t="shared" si="34"/>
        <v>-0.78194603835616427</v>
      </c>
      <c r="DH160" s="5">
        <f t="shared" si="35"/>
        <v>2891.5859090061513</v>
      </c>
      <c r="DI160" s="6">
        <v>4760.9188677075654</v>
      </c>
    </row>
    <row r="161" spans="10:113" x14ac:dyDescent="0.25">
      <c r="J161" s="16">
        <f>(K160*$C$15+K162*(1-$C$15))*EXP(-$C$9*$C$13)</f>
        <v>11372.807812546342</v>
      </c>
      <c r="K161" s="15">
        <f>J160*$C$14</f>
        <v>25808.916988073517</v>
      </c>
      <c r="L161" s="16">
        <f>(M160*$C$15+M162*(1-$C$15))*EXP(-$C$9*$C$13)</f>
        <v>11349.196143112862</v>
      </c>
      <c r="M161" s="15">
        <f>L162/$C$14</f>
        <v>25808.916988073517</v>
      </c>
      <c r="N161" s="16">
        <f>(O160*$C$15+O162*(1-$C$15))*EXP(-$C$9*$C$13)</f>
        <v>11326.148174350108</v>
      </c>
      <c r="O161" s="15">
        <f>N162/$C$14</f>
        <v>25808.916988073517</v>
      </c>
      <c r="P161" s="16">
        <f>(Q160*$C$15+Q162*(1-$C$15))*EXP(-$C$9*$C$13)</f>
        <v>11303.748480790051</v>
      </c>
      <c r="Q161" s="15">
        <f>P162/$C$14</f>
        <v>25808.916988073517</v>
      </c>
      <c r="R161" s="16">
        <f>(S160*$C$15+S162*(1-$C$15))*EXP(-$C$9*$C$13)</f>
        <v>11282.092496962421</v>
      </c>
      <c r="S161" s="15">
        <f>R162/$C$14</f>
        <v>25808.916988073517</v>
      </c>
      <c r="T161" s="16">
        <f>(U160*$C$15+U162*(1-$C$15))*EXP(-$C$9*$C$13)</f>
        <v>11261.287926540517</v>
      </c>
      <c r="U161" s="15">
        <f>T162/$C$14</f>
        <v>25808.916988073517</v>
      </c>
      <c r="V161" s="16">
        <f>(W160*$C$15+W162*(1-$C$15))*EXP(-$C$9*$C$13)</f>
        <v>11241.456260184452</v>
      </c>
      <c r="W161" s="15">
        <f>V162/$C$14</f>
        <v>25808.916988073517</v>
      </c>
      <c r="X161" s="16">
        <f>(Y160*$C$15+Y162*(1-$C$15))*EXP(-$C$9*$C$13)</f>
        <v>11222.734346220386</v>
      </c>
      <c r="Y161" s="15">
        <f>X162/$C$14</f>
        <v>25808.916988073517</v>
      </c>
      <c r="Z161" s="16">
        <f>(AA160*$C$15+AA162*(1-$C$15))*EXP(-$C$9*$C$13)</f>
        <v>11205.275900373459</v>
      </c>
      <c r="AA161" s="15">
        <f>Z162/$C$14</f>
        <v>25808.916988073517</v>
      </c>
      <c r="AB161" s="16">
        <f>(AC160*$C$15+AC162*(1-$C$15))*EXP(-$C$9*$C$13)</f>
        <v>11189.25274003445</v>
      </c>
      <c r="AC161" s="15">
        <f>AB162/$C$14</f>
        <v>25808.916988073517</v>
      </c>
      <c r="AD161" s="16">
        <f>(AE160*$C$15+AE162*(1-$C$15))*EXP(-$C$9*$C$13)</f>
        <v>11174.855354286894</v>
      </c>
      <c r="AE161" s="15">
        <f>AD162/$C$14</f>
        <v>25808.916988073517</v>
      </c>
      <c r="AF161" s="16">
        <f>(AG160*$C$15+AG162*(1-$C$15))*EXP(-$C$9*$C$13)</f>
        <v>11162.292120079812</v>
      </c>
      <c r="AG161" s="15">
        <f>AF162/$C$14</f>
        <v>25808.916988073517</v>
      </c>
      <c r="AH161" s="16">
        <f>(AI160*$C$15+AI162*(1-$C$15))*EXP(-$C$9*$C$13)</f>
        <v>11151.785956009018</v>
      </c>
      <c r="AI161" s="15">
        <f>AH162/$C$14</f>
        <v>25808.916988073517</v>
      </c>
      <c r="AJ161" s="16">
        <f>(AK160*$C$15+AK162*(1-$C$15))*EXP(-$C$9*$C$13)</f>
        <v>11143.566312898496</v>
      </c>
      <c r="AK161" s="15">
        <f>AJ162/$C$14</f>
        <v>25808.916988073517</v>
      </c>
      <c r="AL161" s="16">
        <f>(AM160*$C$15+AM162*(1-$C$15))*EXP(-$C$9*$C$13)</f>
        <v>11137.852883081547</v>
      </c>
      <c r="AM161" s="15">
        <f>AL162/$C$14</f>
        <v>25808.916988073517</v>
      </c>
      <c r="AN161" s="16">
        <f>(AO160*$C$15+AO162*(1-$C$15))*EXP(-$C$9*$C$13)</f>
        <v>11134.824910829979</v>
      </c>
      <c r="AO161" s="15">
        <f>AN162/$C$14</f>
        <v>25808.916988073517</v>
      </c>
      <c r="AP161" s="16">
        <f>(AQ160*$C$15+AQ162*(1-$C$15))*EXP(-$C$9*$C$13)</f>
        <v>11134.566219472785</v>
      </c>
      <c r="AQ161" s="15">
        <f>AP162/$C$14</f>
        <v>25808.916988073517</v>
      </c>
      <c r="AR161" s="16">
        <f>(AS160*$C$15+AS162*(1-$C$15))*EXP(-$C$9*$C$13)</f>
        <v>11136.971919018428</v>
      </c>
      <c r="AS161" s="15">
        <f>AR162/$C$14</f>
        <v>25808.916988073517</v>
      </c>
      <c r="AT161" s="16">
        <f>(AU160*$C$15+AU162*(1-$C$15))*EXP(-$C$9*$C$13)</f>
        <v>11141.605471308359</v>
      </c>
      <c r="AU161" s="15">
        <f>AT162/$C$14</f>
        <v>25808.916988073517</v>
      </c>
      <c r="AV161" s="16">
        <f>(AW160*$C$15+AW162*(1-$C$15))*EXP(-$C$9*$C$13)</f>
        <v>11147.541101433446</v>
      </c>
      <c r="AW161" s="15">
        <f>AV162/$C$14</f>
        <v>25808.916988073517</v>
      </c>
      <c r="AX161" s="16">
        <f>(AY160*$C$15+AY162*(1-$C$15))*EXP(-$C$9*$C$13)</f>
        <v>11153.479893733418</v>
      </c>
      <c r="AY161" s="15">
        <f>AX162/$C$14</f>
        <v>25808.916988073517</v>
      </c>
      <c r="AZ161" s="16">
        <f>(BA160*$C$15+BA162*(1-$C$15))*EXP(-$C$9*$C$13)</f>
        <v>11159.421849892904</v>
      </c>
      <c r="BA161" s="15">
        <f>AZ162/$C$14</f>
        <v>25808.916988073517</v>
      </c>
      <c r="BB161" s="16">
        <f>MAX(0,$C$8-BB160)</f>
        <v>11165.366971597436</v>
      </c>
      <c r="BD161" s="23">
        <f t="shared" si="29"/>
        <v>35034.133333333448</v>
      </c>
      <c r="BE161" s="25">
        <v>5316.2622131785765</v>
      </c>
      <c r="BF161" s="25">
        <v>5284.2188320540336</v>
      </c>
      <c r="BG161" s="25">
        <v>5251.8111924055947</v>
      </c>
      <c r="BH161" s="25">
        <v>5219.0291472679519</v>
      </c>
      <c r="BI161" s="25">
        <v>5185.8620713369901</v>
      </c>
      <c r="BJ161" s="25">
        <v>5152.2988292890595</v>
      </c>
      <c r="BK161" s="25">
        <v>5118.3277414158838</v>
      </c>
      <c r="BL161" s="25">
        <v>5083.9365463011527</v>
      </c>
      <c r="BM161" s="25">
        <v>5049.1123602337775</v>
      </c>
      <c r="BN161" s="25">
        <v>5013.8416330170485</v>
      </c>
      <c r="BO161" s="25">
        <v>4978.110099793209</v>
      </c>
      <c r="BP161" s="25">
        <v>4941.9027284581189</v>
      </c>
      <c r="BQ161" s="25">
        <v>4905.2036621910966</v>
      </c>
      <c r="BR161" s="25">
        <v>4867.9961565694639</v>
      </c>
      <c r="BS161" s="25">
        <v>4830.2625106763198</v>
      </c>
      <c r="BT161" s="25">
        <v>4791.983991542812</v>
      </c>
      <c r="BU161" s="25">
        <v>4753.1407511936059</v>
      </c>
      <c r="BV161" s="25">
        <v>4713.7117354866787</v>
      </c>
      <c r="BW161" s="25">
        <v>4673.6745838591487</v>
      </c>
      <c r="BX161" s="25">
        <v>4633.0055190069443</v>
      </c>
      <c r="BY161" s="25">
        <v>4591.679225456659</v>
      </c>
      <c r="BZ161" s="25">
        <v>4549.6687159229623</v>
      </c>
      <c r="CA161" s="25">
        <v>4506.9451843145789</v>
      </c>
      <c r="CB161" s="25">
        <v>4463.4778442698325</v>
      </c>
      <c r="CC161" s="25">
        <v>4419.2337522065909</v>
      </c>
      <c r="CD161" s="25">
        <v>4374.1776141153678</v>
      </c>
      <c r="CE161" s="25">
        <v>4328.2715757939495</v>
      </c>
      <c r="CF161" s="25">
        <v>4281.4749970516023</v>
      </c>
      <c r="CG161" s="25">
        <v>4233.7442118130748</v>
      </c>
      <c r="CH161" s="25">
        <v>4185.0322783647262</v>
      </c>
      <c r="CI161" s="25">
        <v>4135.2887277490318</v>
      </c>
      <c r="CJ161" s="25">
        <v>4084.4593244056096</v>
      </c>
      <c r="CK161" s="25">
        <v>4032.4858630307158</v>
      </c>
      <c r="CL161" s="25">
        <v>3979.3060416381754</v>
      </c>
      <c r="CM161" s="25">
        <v>3924.8534770685096</v>
      </c>
      <c r="CN161" s="25">
        <v>3869.0579725545176</v>
      </c>
      <c r="CO161" s="25">
        <v>3811.8462195582056</v>
      </c>
      <c r="CP161" s="25">
        <v>3753.1432393623591</v>
      </c>
      <c r="CQ161" s="25">
        <v>3692.8750825888105</v>
      </c>
      <c r="CR161" s="25">
        <v>3630.9736781540978</v>
      </c>
      <c r="CS161" s="25">
        <v>3567.3853901000666</v>
      </c>
      <c r="CT161" s="25">
        <v>3502.0860521027712</v>
      </c>
      <c r="CU161" s="25">
        <v>3435.1074801106924</v>
      </c>
      <c r="CV161" s="25">
        <v>3366.5846021953721</v>
      </c>
      <c r="CW161" s="25">
        <v>3296.8399892419297</v>
      </c>
      <c r="CX161" s="25">
        <v>3226.536300671029</v>
      </c>
      <c r="CY161" s="25">
        <v>3156.9499154926029</v>
      </c>
      <c r="CZ161" s="25">
        <v>3090.4486716526785</v>
      </c>
      <c r="DA161" s="25">
        <v>3031.2605570766973</v>
      </c>
      <c r="DB161" s="25">
        <v>2986.4349712408812</v>
      </c>
      <c r="DC161" s="44">
        <f t="shared" si="32"/>
        <v>2965.8666666666613</v>
      </c>
      <c r="DD161" s="5">
        <f t="shared" si="31"/>
        <v>31</v>
      </c>
      <c r="DE161" s="30" cm="1">
        <f t="array" ref="DE161">1/2*(rf-q)*DD161*dt-1/2*(sigma^2)*(DD161^2)*dt</f>
        <v>-0.72571167739726006</v>
      </c>
      <c r="DF161" s="25">
        <f t="shared" si="33"/>
        <v>2.4599449986301369</v>
      </c>
      <c r="DG161" s="6">
        <f t="shared" si="34"/>
        <v>-0.7339670198630136</v>
      </c>
      <c r="DH161" s="5">
        <f t="shared" si="35"/>
        <v>2350.3955465104009</v>
      </c>
      <c r="DI161" s="6">
        <v>5347.951033646571</v>
      </c>
    </row>
    <row r="162" spans="10:113" x14ac:dyDescent="0.25">
      <c r="K162" s="16">
        <f>(L161*$C$15+L163*(1-$C$15))*EXP(-$C$9*$C$13)</f>
        <v>12276.774534836919</v>
      </c>
      <c r="L162" s="15">
        <f>K161*$C$14</f>
        <v>24822.407498259796</v>
      </c>
      <c r="M162" s="16">
        <f>(N161*$C$15+N163*(1-$C$15))*EXP(-$C$9*$C$13)</f>
        <v>12260.248772317906</v>
      </c>
      <c r="N162" s="15">
        <f>M163/$C$14</f>
        <v>24822.407498259796</v>
      </c>
      <c r="O162" s="16">
        <f>(P161*$C$15+P163*(1-$C$15))*EXP(-$C$9*$C$13)</f>
        <v>12244.451568826458</v>
      </c>
      <c r="P162" s="15">
        <f>O163/$C$14</f>
        <v>24822.407498259796</v>
      </c>
      <c r="Q162" s="16">
        <f>(R161*$C$15+R163*(1-$C$15))*EXP(-$C$9*$C$13)</f>
        <v>12229.464727501389</v>
      </c>
      <c r="R162" s="15">
        <f>Q163/$C$14</f>
        <v>24822.407498259796</v>
      </c>
      <c r="S162" s="16">
        <f>(T161*$C$15+T163*(1-$C$15))*EXP(-$C$9*$C$13)</f>
        <v>12215.377942269979</v>
      </c>
      <c r="T162" s="15">
        <f>S163/$C$14</f>
        <v>24822.407498259796</v>
      </c>
      <c r="U162" s="16">
        <f>(V161*$C$15+V163*(1-$C$15))*EXP(-$C$9*$C$13)</f>
        <v>12202.2891960669</v>
      </c>
      <c r="V162" s="15">
        <f>U163/$C$14</f>
        <v>24822.407498259796</v>
      </c>
      <c r="W162" s="16">
        <f>(X161*$C$15+X163*(1-$C$15))*EXP(-$C$9*$C$13)</f>
        <v>12190.304938489895</v>
      </c>
      <c r="X162" s="15">
        <f>W163/$C$14</f>
        <v>24822.407498259796</v>
      </c>
      <c r="Y162" s="16">
        <f>(Z161*$C$15+Z163*(1-$C$15))*EXP(-$C$9*$C$13)</f>
        <v>12179.539877089315</v>
      </c>
      <c r="Z162" s="15">
        <f>Y163/$C$14</f>
        <v>24822.407498259796</v>
      </c>
      <c r="AA162" s="16">
        <f>(AB161*$C$15+AB163*(1-$C$15))*EXP(-$C$9*$C$13)</f>
        <v>12170.116123471327</v>
      </c>
      <c r="AB162" s="15">
        <f>AA163/$C$14</f>
        <v>24822.407498259796</v>
      </c>
      <c r="AC162" s="16">
        <f>(AD161*$C$15+AD163*(1-$C$15))*EXP(-$C$9*$C$13)</f>
        <v>12162.161292735227</v>
      </c>
      <c r="AD162" s="15">
        <f>AC163/$C$14</f>
        <v>24822.407498259796</v>
      </c>
      <c r="AE162" s="16">
        <f>(AF161*$C$15+AF163*(1-$C$15))*EXP(-$C$9*$C$13)</f>
        <v>12155.804937545787</v>
      </c>
      <c r="AF162" s="15">
        <f>AE163/$C$14</f>
        <v>24822.407498259796</v>
      </c>
      <c r="AG162" s="16">
        <f>(AH161*$C$15+AH163*(1-$C$15))*EXP(-$C$9*$C$13)</f>
        <v>12151.17237249145</v>
      </c>
      <c r="AH162" s="15">
        <f>AG163/$C$14</f>
        <v>24822.407498259796</v>
      </c>
      <c r="AI162" s="16">
        <f>(AJ161*$C$15+AJ163*(1-$C$15))*EXP(-$C$9*$C$13)</f>
        <v>12148.374472026171</v>
      </c>
      <c r="AJ162" s="15">
        <f>AI163/$C$14</f>
        <v>24822.407498259796</v>
      </c>
      <c r="AK162" s="16">
        <f>(AL161*$C$15+AL163*(1-$C$15))*EXP(-$C$9*$C$13)</f>
        <v>12147.491388925071</v>
      </c>
      <c r="AL162" s="15">
        <f>AK163/$C$14</f>
        <v>24822.407498259796</v>
      </c>
      <c r="AM162" s="16">
        <f>(AN161*$C$15+AN163*(1-$C$15))*EXP(-$C$9*$C$13)</f>
        <v>12148.547436538849</v>
      </c>
      <c r="AN162" s="15">
        <f>AM163/$C$14</f>
        <v>24822.407498259796</v>
      </c>
      <c r="AO162" s="16">
        <f>(AP161*$C$15+AP163*(1-$C$15))*EXP(-$C$9*$C$13)</f>
        <v>12151.474121512909</v>
      </c>
      <c r="AP162" s="15">
        <f>AO163/$C$14</f>
        <v>24822.407498259796</v>
      </c>
      <c r="AQ162" s="16">
        <f>(AR161*$C$15+AR163*(1-$C$15))*EXP(-$C$9*$C$13)</f>
        <v>12156.060377821976</v>
      </c>
      <c r="AR162" s="15">
        <f>AQ163/$C$14</f>
        <v>24822.407498259796</v>
      </c>
      <c r="AS162" s="16">
        <f>(AT161*$C$15+AT163*(1-$C$15))*EXP(-$C$9*$C$13)</f>
        <v>12161.899479206848</v>
      </c>
      <c r="AT162" s="15">
        <f>AS163/$C$14</f>
        <v>24822.407498259796</v>
      </c>
      <c r="AU162" s="16">
        <f>(AV161*$C$15+AV163*(1-$C$15))*EXP(-$C$9*$C$13)</f>
        <v>12168.378665452758</v>
      </c>
      <c r="AV162" s="15">
        <f>AU163/$C$14</f>
        <v>24822.407498259796</v>
      </c>
      <c r="AW162" s="16">
        <f>(AX161*$C$15+AX163*(1-$C$15))*EXP(-$C$9*$C$13)</f>
        <v>12174.86130345014</v>
      </c>
      <c r="AX162" s="15">
        <f>AW163/$C$14</f>
        <v>24822.407498259796</v>
      </c>
      <c r="AY162" s="16">
        <f>(AZ161*$C$15+AZ163*(1-$C$15))*EXP(-$C$9*$C$13)</f>
        <v>12181.347395037894</v>
      </c>
      <c r="AZ162" s="15">
        <f>AY163/$C$14</f>
        <v>24822.407498259796</v>
      </c>
      <c r="BA162" s="16">
        <f>(BB161*$C$15+BB163*(1-$C$15))*EXP(-$C$9*$C$13)</f>
        <v>12187.836942055903</v>
      </c>
      <c r="BB162" s="15">
        <f>BA163/$C$14</f>
        <v>24822.407498259796</v>
      </c>
      <c r="BD162" s="58">
        <f t="shared" si="29"/>
        <v>33904.000000000116</v>
      </c>
      <c r="BE162" s="59">
        <v>5958.009949526474</v>
      </c>
      <c r="BF162" s="25">
        <v>5928.4310031777359</v>
      </c>
      <c r="BG162" s="25">
        <v>5898.5453305832452</v>
      </c>
      <c r="BH162" s="25">
        <v>5868.3455439728714</v>
      </c>
      <c r="BI162" s="25">
        <v>5837.8239728089275</v>
      </c>
      <c r="BJ162" s="25">
        <v>5806.9726504780656</v>
      </c>
      <c r="BK162" s="25">
        <v>5775.7833004586955</v>
      </c>
      <c r="BL162" s="25">
        <v>5744.2473219968178</v>
      </c>
      <c r="BM162" s="25">
        <v>5712.3557753429322</v>
      </c>
      <c r="BN162" s="25">
        <v>5680.0993666279783</v>
      </c>
      <c r="BO162" s="25">
        <v>5647.468432489587</v>
      </c>
      <c r="BP162" s="25">
        <v>5614.4529246030261</v>
      </c>
      <c r="BQ162" s="25">
        <v>5581.0423943272617</v>
      </c>
      <c r="BR162" s="25">
        <v>5547.2259777494965</v>
      </c>
      <c r="BS162" s="25">
        <v>5512.9923815061329</v>
      </c>
      <c r="BT162" s="25">
        <v>5478.3298698815552</v>
      </c>
      <c r="BU162" s="25">
        <v>5443.2262538468367</v>
      </c>
      <c r="BV162" s="25">
        <v>5407.668882910868</v>
      </c>
      <c r="BW162" s="25">
        <v>5371.6446409323598</v>
      </c>
      <c r="BX162" s="25">
        <v>5335.1399474035416</v>
      </c>
      <c r="BY162" s="25">
        <v>5298.1407661974054</v>
      </c>
      <c r="BZ162" s="25">
        <v>5260.6326244058382</v>
      </c>
      <c r="CA162" s="25">
        <v>5222.6006447459204</v>
      </c>
      <c r="CB162" s="25">
        <v>5184.0295961503762</v>
      </c>
      <c r="CC162" s="25">
        <v>5144.9039686944807</v>
      </c>
      <c r="CD162" s="25">
        <v>5105.2080810970292</v>
      </c>
      <c r="CE162" s="25">
        <v>5064.9262318831452</v>
      </c>
      <c r="CF162" s="25">
        <v>5024.0429092205241</v>
      </c>
      <c r="CG162" s="25">
        <v>4982.5430798848847</v>
      </c>
      <c r="CH162" s="25">
        <v>4940.4125854266795</v>
      </c>
      <c r="CI162" s="25">
        <v>4897.6386843591026</v>
      </c>
      <c r="CJ162" s="25">
        <v>4854.2107944936433</v>
      </c>
      <c r="CK162" s="25">
        <v>4810.1215115549812</v>
      </c>
      <c r="CL162" s="25">
        <v>4765.368012144012</v>
      </c>
      <c r="CM162" s="25">
        <v>4719.9539959363537</v>
      </c>
      <c r="CN162" s="25">
        <v>4673.8923912539303</v>
      </c>
      <c r="CO162" s="25">
        <v>4627.2091514801887</v>
      </c>
      <c r="CP162" s="25">
        <v>4579.9486250310047</v>
      </c>
      <c r="CQ162" s="25">
        <v>4532.1812157530767</v>
      </c>
      <c r="CR162" s="25">
        <v>4484.0144034189743</v>
      </c>
      <c r="CS162" s="25">
        <v>4435.6087201922719</v>
      </c>
      <c r="CT162" s="25">
        <v>4387.2010431875342</v>
      </c>
      <c r="CU162" s="25">
        <v>4339.1386083990401</v>
      </c>
      <c r="CV162" s="25">
        <v>4291.928388120391</v>
      </c>
      <c r="CW162" s="25">
        <v>4246.3073585251268</v>
      </c>
      <c r="CX162" s="25">
        <v>4203.3378623520703</v>
      </c>
      <c r="CY162" s="25">
        <v>4164.5235065823854</v>
      </c>
      <c r="CZ162" s="25">
        <v>4131.9117514811742</v>
      </c>
      <c r="DA162" s="25">
        <v>4108.0711747823116</v>
      </c>
      <c r="DB162" s="25">
        <v>4095.6575217753916</v>
      </c>
      <c r="DC162" s="44">
        <f t="shared" si="32"/>
        <v>4096</v>
      </c>
      <c r="DD162" s="5">
        <f t="shared" si="31"/>
        <v>30</v>
      </c>
      <c r="DE162" s="30" cm="1">
        <f t="array" ref="DE162">1/2*(rf-q)*DD162*dt-1/2*(sigma^2)*(DD162^2)*dt</f>
        <v>-0.67951787671232855</v>
      </c>
      <c r="DF162" s="25">
        <f t="shared" si="33"/>
        <v>2.367291095890411</v>
      </c>
      <c r="DG162" s="6">
        <f t="shared" si="34"/>
        <v>-0.68750691780821904</v>
      </c>
      <c r="DH162" s="5">
        <f t="shared" si="35"/>
        <v>1862.0099495244576</v>
      </c>
      <c r="DI162" s="6">
        <v>5987.2892873973506</v>
      </c>
    </row>
    <row r="163" spans="10:113" x14ac:dyDescent="0.25">
      <c r="L163" s="16">
        <f>(M162*$C$15+M164*(1-$C$15))*EXP(-$C$9*$C$13)</f>
        <v>13175.312081989101</v>
      </c>
      <c r="M163" s="15">
        <f>L162*$C$14</f>
        <v>23873.605943805869</v>
      </c>
      <c r="N163" s="16">
        <f>(O162*$C$15+O164*(1-$C$15))*EXP(-$C$9*$C$13)</f>
        <v>13165.050588968867</v>
      </c>
      <c r="O163" s="15">
        <f>N164/$C$14</f>
        <v>23873.605943805869</v>
      </c>
      <c r="P163" s="16">
        <f>(Q162*$C$15+Q164*(1-$C$15))*EXP(-$C$9*$C$13)</f>
        <v>13155.595250732194</v>
      </c>
      <c r="Q163" s="15">
        <f>P164/$C$14</f>
        <v>23873.605943805869</v>
      </c>
      <c r="R163" s="16">
        <f>(S162*$C$15+S164*(1-$C$15))*EXP(-$C$9*$C$13)</f>
        <v>13147.014802809283</v>
      </c>
      <c r="S163" s="15">
        <f>R164/$C$14</f>
        <v>23873.605943805869</v>
      </c>
      <c r="T163" s="16">
        <f>(U162*$C$15+U164*(1-$C$15))*EXP(-$C$9*$C$13)</f>
        <v>13139.381664643039</v>
      </c>
      <c r="U163" s="15">
        <f>T164/$C$14</f>
        <v>23873.605943805869</v>
      </c>
      <c r="V163" s="16">
        <f>(W162*$C$15+W164*(1-$C$15))*EXP(-$C$9*$C$13)</f>
        <v>13132.771261187809</v>
      </c>
      <c r="W163" s="15">
        <f>V164/$C$14</f>
        <v>23873.605943805869</v>
      </c>
      <c r="X163" s="16">
        <f>(Y162*$C$15+Y164*(1-$C$15))*EXP(-$C$9*$C$13)</f>
        <v>13127.26086088068</v>
      </c>
      <c r="Y163" s="15">
        <f>X164/$C$14</f>
        <v>23873.605943805869</v>
      </c>
      <c r="Z163" s="16">
        <f>(AA162*$C$15+AA164*(1-$C$15))*EXP(-$C$9*$C$13)</f>
        <v>13122.927714063675</v>
      </c>
      <c r="AA163" s="15">
        <f>Z164/$C$14</f>
        <v>23873.605943805869</v>
      </c>
      <c r="AB163" s="16">
        <f>(AC162*$C$15+AC164*(1-$C$15))*EXP(-$C$9*$C$13)</f>
        <v>13119.846190294427</v>
      </c>
      <c r="AC163" s="15">
        <f>AB164/$C$14</f>
        <v>23873.605943805869</v>
      </c>
      <c r="AD163" s="16">
        <f>(AE162*$C$15+AE164*(1-$C$15))*EXP(-$C$9*$C$13)</f>
        <v>13118.08350063549</v>
      </c>
      <c r="AE163" s="15">
        <f>AD164/$C$14</f>
        <v>23873.605943805869</v>
      </c>
      <c r="AF163" s="16">
        <f>(AG162*$C$15+AG164*(1-$C$15))*EXP(-$C$9*$C$13)</f>
        <v>13117.69345410501</v>
      </c>
      <c r="AG163" s="15">
        <f>AF164/$C$14</f>
        <v>23873.605943805869</v>
      </c>
      <c r="AH163" s="16">
        <f>(AI162*$C$15+AI164*(1-$C$15))*EXP(-$C$9*$C$13)</f>
        <v>13118.707557535748</v>
      </c>
      <c r="AI163" s="15">
        <f>AH164/$C$14</f>
        <v>23873.605943805869</v>
      </c>
      <c r="AJ163" s="16">
        <f>(AK162*$C$15+AK164*(1-$C$15))*EXP(-$C$9*$C$13)</f>
        <v>13121.122699357484</v>
      </c>
      <c r="AK163" s="15">
        <f>AJ164/$C$14</f>
        <v>23873.605943805869</v>
      </c>
      <c r="AL163" s="16">
        <f>(AM162*$C$15+AM164*(1-$C$15))*EXP(-$C$9*$C$13)</f>
        <v>13124.884868369456</v>
      </c>
      <c r="AM163" s="15">
        <f>AL164/$C$14</f>
        <v>23873.605943805869</v>
      </c>
      <c r="AN163" s="16">
        <f>(AO162*$C$15+AO164*(1-$C$15))*EXP(-$C$9*$C$13)</f>
        <v>13129.869381720999</v>
      </c>
      <c r="AO163" s="15">
        <f>AN164/$C$14</f>
        <v>23873.605943805869</v>
      </c>
      <c r="AP163" s="16">
        <f>(AQ162*$C$15+AQ164*(1-$C$15))*EXP(-$C$9*$C$13)</f>
        <v>13135.861215677238</v>
      </c>
      <c r="AQ163" s="15">
        <f>AP164/$C$14</f>
        <v>23873.605943805869</v>
      </c>
      <c r="AR163" s="16">
        <f>(AS162*$C$15+AS164*(1-$C$15))*EXP(-$C$9*$C$13)</f>
        <v>13142.547076327872</v>
      </c>
      <c r="AS163" s="15">
        <f>AR164/$C$14</f>
        <v>23873.605943805869</v>
      </c>
      <c r="AT163" s="16">
        <f>(AU162*$C$15+AU164*(1-$C$15))*EXP(-$C$9*$C$13)</f>
        <v>13149.548697283444</v>
      </c>
      <c r="AU163" s="15">
        <f>AT164/$C$14</f>
        <v>23873.605943805869</v>
      </c>
      <c r="AV163" s="16">
        <f>(AW162*$C$15+AW164*(1-$C$15))*EXP(-$C$9*$C$13)</f>
        <v>13156.554048314756</v>
      </c>
      <c r="AW163" s="15">
        <f>AV164/$C$14</f>
        <v>23873.605943805869</v>
      </c>
      <c r="AX163" s="16">
        <f>(AY162*$C$15+AY164*(1-$C$15))*EXP(-$C$9*$C$13)</f>
        <v>13163.563131408988</v>
      </c>
      <c r="AY163" s="15">
        <f>AX164/$C$14</f>
        <v>23873.605943805869</v>
      </c>
      <c r="AZ163" s="16">
        <f>(BA162*$C$15+BA164*(1-$C$15))*EXP(-$C$9*$C$13)</f>
        <v>13170.575948554371</v>
      </c>
      <c r="BA163" s="15">
        <f>AZ164/$C$14</f>
        <v>23873.605943805869</v>
      </c>
      <c r="BB163" s="16">
        <f>MAX(0,$C$8-BB162)</f>
        <v>13177.592501740204</v>
      </c>
      <c r="BD163" s="23">
        <f t="shared" si="29"/>
        <v>32773.866666666785</v>
      </c>
      <c r="BE163" s="25">
        <v>6653.1669085668327</v>
      </c>
      <c r="BF163" s="25">
        <v>6626.5211672991936</v>
      </c>
      <c r="BG163" s="25">
        <v>6599.6376603375829</v>
      </c>
      <c r="BH163" s="25">
        <v>6572.5122047811446</v>
      </c>
      <c r="BI163" s="25">
        <v>6545.1405523058356</v>
      </c>
      <c r="BJ163" s="25">
        <v>6517.5183952115813</v>
      </c>
      <c r="BK163" s="25">
        <v>6489.6413740815806</v>
      </c>
      <c r="BL163" s="25">
        <v>6461.5050873681957</v>
      </c>
      <c r="BM163" s="25">
        <v>6433.1051032824525</v>
      </c>
      <c r="BN163" s="25">
        <v>6404.4369744400492</v>
      </c>
      <c r="BO163" s="25">
        <v>6375.4962558092038</v>
      </c>
      <c r="BP163" s="25">
        <v>6346.2785266187102</v>
      </c>
      <c r="BQ163" s="25">
        <v>6316.7794170230427</v>
      </c>
      <c r="BR163" s="25">
        <v>6286.9946404918137</v>
      </c>
      <c r="BS163" s="25">
        <v>6256.9200331012498</v>
      </c>
      <c r="BT163" s="25">
        <v>6226.5516011661757</v>
      </c>
      <c r="BU163" s="25">
        <v>6195.8855789751969</v>
      </c>
      <c r="BV163" s="25">
        <v>6164.918498797083</v>
      </c>
      <c r="BW163" s="25">
        <v>6133.6472758343189</v>
      </c>
      <c r="BX163" s="25">
        <v>6102.0693114399401</v>
      </c>
      <c r="BY163" s="25">
        <v>6070.1826187239167</v>
      </c>
      <c r="BZ163" s="25">
        <v>6037.9859757048207</v>
      </c>
      <c r="CA163" s="25">
        <v>6005.4791124779249</v>
      </c>
      <c r="CB163" s="25">
        <v>5972.6629405592312</v>
      </c>
      <c r="CC163" s="25">
        <v>5939.5398347429491</v>
      </c>
      <c r="CD163" s="25">
        <v>5906.1139806337142</v>
      </c>
      <c r="CE163" s="25">
        <v>5872.3918046945873</v>
      </c>
      <c r="CF163" s="25">
        <v>5838.3825084701848</v>
      </c>
      <c r="CG163" s="25">
        <v>5804.0987349838397</v>
      </c>
      <c r="CH163" s="25">
        <v>5769.5574036846328</v>
      </c>
      <c r="CI163" s="25">
        <v>5734.7807614305339</v>
      </c>
      <c r="CJ163" s="25">
        <v>5699.7977117696428</v>
      </c>
      <c r="CK163" s="25">
        <v>5664.6455044549139</v>
      </c>
      <c r="CL163" s="25">
        <v>5629.3718932900856</v>
      </c>
      <c r="CM163" s="25">
        <v>5594.0379050266374</v>
      </c>
      <c r="CN163" s="25">
        <v>5558.7214073451678</v>
      </c>
      <c r="CO163" s="25">
        <v>5523.5217220251134</v>
      </c>
      <c r="CP163" s="25">
        <v>5488.5656009195864</v>
      </c>
      <c r="CQ163" s="25">
        <v>5454.014963736161</v>
      </c>
      <c r="CR163" s="25">
        <v>5420.076873586253</v>
      </c>
      <c r="CS163" s="25">
        <v>5387.0162599813484</v>
      </c>
      <c r="CT163" s="25">
        <v>5355.1717977564085</v>
      </c>
      <c r="CU163" s="25">
        <v>5324.9749144120178</v>
      </c>
      <c r="CV163" s="25">
        <v>5296.970718256689</v>
      </c>
      <c r="CW163" s="25">
        <v>5271.8369319750855</v>
      </c>
      <c r="CX163" s="25">
        <v>5250.3913185847841</v>
      </c>
      <c r="CY163" s="25">
        <v>5233.5676221060912</v>
      </c>
      <c r="CZ163" s="25">
        <v>5222.3230679116277</v>
      </c>
      <c r="DA163" s="25">
        <v>5217.4200420660718</v>
      </c>
      <c r="DB163" s="25">
        <v>5219.0221955029301</v>
      </c>
      <c r="DC163" s="44">
        <f t="shared" si="32"/>
        <v>5226.1333333333314</v>
      </c>
      <c r="DD163" s="5">
        <f t="shared" si="31"/>
        <v>29</v>
      </c>
      <c r="DE163" s="30" cm="1">
        <f t="array" ref="DE163">1/2*(rf-q)*DD163*dt-1/2*(sigma^2)*(DD163^2)*dt</f>
        <v>-0.63484299246575338</v>
      </c>
      <c r="DF163" s="25">
        <f t="shared" si="33"/>
        <v>2.2776750260273975</v>
      </c>
      <c r="DG163" s="6">
        <f t="shared" si="34"/>
        <v>-0.64256573219178081</v>
      </c>
      <c r="DH163" s="5">
        <f t="shared" si="35"/>
        <v>1427.0335752314213</v>
      </c>
      <c r="DI163" s="6">
        <v>6679.5789969205234</v>
      </c>
    </row>
    <row r="164" spans="10:113" x14ac:dyDescent="0.25">
      <c r="M164" s="16">
        <f>(N163*$C$15+N165*(1-$C$15))*EXP(-$C$9*$C$13)</f>
        <v>14062.282398326697</v>
      </c>
      <c r="N164" s="15">
        <f>M163*$C$14</f>
        <v>22961.070992009129</v>
      </c>
      <c r="O164" s="16">
        <f>(P163*$C$15+P165*(1-$C$15))*EXP(-$C$9*$C$13)</f>
        <v>14057.339659482668</v>
      </c>
      <c r="P164" s="15">
        <f>O165/$C$14</f>
        <v>22961.070992009129</v>
      </c>
      <c r="Q164" s="16">
        <f>(R163*$C$15+R165*(1-$C$15))*EXP(-$C$9*$C$13)</f>
        <v>14053.199450071157</v>
      </c>
      <c r="R164" s="15">
        <f>Q165/$C$14</f>
        <v>22961.070992009129</v>
      </c>
      <c r="S164" s="16">
        <f>(T163*$C$15+T165*(1-$C$15))*EXP(-$C$9*$C$13)</f>
        <v>14049.910384244322</v>
      </c>
      <c r="T164" s="15">
        <f>S165/$C$14</f>
        <v>22961.070992009129</v>
      </c>
      <c r="U164" s="16">
        <f>(V163*$C$15+V165*(1-$C$15))*EXP(-$C$9*$C$13)</f>
        <v>14047.520332920438</v>
      </c>
      <c r="V164" s="15">
        <f>U165/$C$14</f>
        <v>22961.070992009129</v>
      </c>
      <c r="W164" s="16">
        <f>(X163*$C$15+X165*(1-$C$15))*EXP(-$C$9*$C$13)</f>
        <v>14046.07492169278</v>
      </c>
      <c r="X164" s="15">
        <f>W165/$C$14</f>
        <v>22961.070992009129</v>
      </c>
      <c r="Y164" s="16">
        <f>(Z163*$C$15+Z165*(1-$C$15))*EXP(-$C$9*$C$13)</f>
        <v>14045.615451314765</v>
      </c>
      <c r="Z164" s="15">
        <f>Y165/$C$14</f>
        <v>22961.070992009129</v>
      </c>
      <c r="AA164" s="16">
        <f>(AB163*$C$15+AB165*(1-$C$15))*EXP(-$C$9*$C$13)</f>
        <v>14046.176065985666</v>
      </c>
      <c r="AB164" s="15">
        <f>AA165/$C$14</f>
        <v>22961.070992009129</v>
      </c>
      <c r="AC164" s="16">
        <f>(AD163*$C$15+AD165*(1-$C$15))*EXP(-$C$9*$C$13)</f>
        <v>14047.779963814884</v>
      </c>
      <c r="AD164" s="15">
        <f>AC165/$C$14</f>
        <v>22961.070992009129</v>
      </c>
      <c r="AE164" s="16">
        <f>(AF163*$C$15+AF165*(1-$C$15))*EXP(-$C$9*$C$13)</f>
        <v>14050.434432299975</v>
      </c>
      <c r="AF164" s="15">
        <f>AE165/$C$14</f>
        <v>22961.070992009129</v>
      </c>
      <c r="AG164" s="16">
        <f>(AH163*$C$15+AH165*(1-$C$15))*EXP(-$C$9*$C$13)</f>
        <v>14054.124536203342</v>
      </c>
      <c r="AH164" s="15">
        <f>AG165/$C$14</f>
        <v>22961.070992009129</v>
      </c>
      <c r="AI164" s="16">
        <f>(AJ163*$C$15+AJ165*(1-$C$15))*EXP(-$C$9*$C$13)</f>
        <v>14058.805464914147</v>
      </c>
      <c r="AJ164" s="15">
        <f>AI165/$C$14</f>
        <v>22961.070992009129</v>
      </c>
      <c r="AK164" s="16">
        <f>(AL163*$C$15+AL165*(1-$C$15))*EXP(-$C$9*$C$13)</f>
        <v>14064.394023553343</v>
      </c>
      <c r="AL164" s="15">
        <f>AK165/$C$14</f>
        <v>22961.070992009129</v>
      </c>
      <c r="AM164" s="16">
        <f>(AN163*$C$15+AN165*(1-$C$15))*EXP(-$C$9*$C$13)</f>
        <v>14070.760841993851</v>
      </c>
      <c r="AN164" s="15">
        <f>AM165/$C$14</f>
        <v>22961.070992009129</v>
      </c>
      <c r="AO164" s="16">
        <f>(AP163*$C$15+AP165*(1-$C$15))*EXP(-$C$9*$C$13)</f>
        <v>14077.727130507305</v>
      </c>
      <c r="AP164" s="15">
        <f>AO165/$C$14</f>
        <v>22961.070992009129</v>
      </c>
      <c r="AQ164" s="16">
        <f>(AR163*$C$15+AR165*(1-$C$15))*EXP(-$C$9*$C$13)</f>
        <v>14085.073946578637</v>
      </c>
      <c r="AR164" s="15">
        <f>AQ165/$C$14</f>
        <v>22961.070992009129</v>
      </c>
      <c r="AS164" s="16">
        <f>(AT163*$C$15+AT165*(1-$C$15))*EXP(-$C$9*$C$13)</f>
        <v>14092.577693632567</v>
      </c>
      <c r="AT164" s="15">
        <f>AS165/$C$14</f>
        <v>22961.070992009129</v>
      </c>
      <c r="AU164" s="16">
        <f>(AV163*$C$15+AV165*(1-$C$15))*EXP(-$C$9*$C$13)</f>
        <v>14100.085438267206</v>
      </c>
      <c r="AV164" s="15">
        <f>AU165/$C$14</f>
        <v>22961.070992009129</v>
      </c>
      <c r="AW164" s="16">
        <f>(AX163*$C$15+AX165*(1-$C$15))*EXP(-$C$9*$C$13)</f>
        <v>14107.59718261224</v>
      </c>
      <c r="AX164" s="15">
        <f>AW165/$C$14</f>
        <v>22961.070992009129</v>
      </c>
      <c r="AY164" s="16">
        <f>(AZ163*$C$15+AZ165*(1-$C$15))*EXP(-$C$9*$C$13)</f>
        <v>14115.112928798495</v>
      </c>
      <c r="AZ164" s="15">
        <f>AY165/$C$14</f>
        <v>22961.070992009129</v>
      </c>
      <c r="BA164" s="16">
        <f>(BB163*$C$15+BB165*(1-$C$15))*EXP(-$C$9*$C$13)</f>
        <v>14122.632678957925</v>
      </c>
      <c r="BB164" s="15">
        <f>BA165/$C$14</f>
        <v>22961.070992009129</v>
      </c>
      <c r="BD164" s="23">
        <f t="shared" si="29"/>
        <v>31643.73333333345</v>
      </c>
      <c r="BE164" s="25">
        <v>7401.5433335157186</v>
      </c>
      <c r="BF164" s="25">
        <v>7378.2298287101257</v>
      </c>
      <c r="BG164" s="25">
        <v>7354.7548467914248</v>
      </c>
      <c r="BH164" s="25">
        <v>7331.1175500141526</v>
      </c>
      <c r="BI164" s="25">
        <v>7307.3172456450648</v>
      </c>
      <c r="BJ164" s="25">
        <v>7283.3534090641615</v>
      </c>
      <c r="BK164" s="25">
        <v>7259.2257101457481</v>
      </c>
      <c r="BL164" s="25">
        <v>7234.9340434206442</v>
      </c>
      <c r="BM164" s="25">
        <v>7210.4785626054691</v>
      </c>
      <c r="BN164" s="25">
        <v>7185.8597201859629</v>
      </c>
      <c r="BO164" s="25">
        <v>7161.078312861232</v>
      </c>
      <c r="BP164" s="25">
        <v>7136.135533799521</v>
      </c>
      <c r="BQ164" s="25">
        <v>7111.033032827725</v>
      </c>
      <c r="BR164" s="25">
        <v>7085.7729858832708</v>
      </c>
      <c r="BS164" s="25">
        <v>7060.3581753052167</v>
      </c>
      <c r="BT164" s="25">
        <v>7034.792082841197</v>
      </c>
      <c r="BU164" s="25">
        <v>7009.0789976095903</v>
      </c>
      <c r="BV164" s="25">
        <v>6983.2241416964989</v>
      </c>
      <c r="BW164" s="25">
        <v>6957.2338166027421</v>
      </c>
      <c r="BX164" s="25">
        <v>6931.1155744092403</v>
      </c>
      <c r="BY164" s="25">
        <v>6904.8784183277103</v>
      </c>
      <c r="BZ164" s="25">
        <v>6878.5330382815164</v>
      </c>
      <c r="CA164" s="25">
        <v>6852.0920883615445</v>
      </c>
      <c r="CB164" s="25">
        <v>6825.5705144757594</v>
      </c>
      <c r="CC164" s="25">
        <v>6798.9859423222942</v>
      </c>
      <c r="CD164" s="25">
        <v>6772.3591380404814</v>
      </c>
      <c r="CE164" s="25">
        <v>6745.7145566210602</v>
      </c>
      <c r="CF164" s="25">
        <v>6719.0809964868595</v>
      </c>
      <c r="CG164" s="25">
        <v>6692.4923826940521</v>
      </c>
      <c r="CH164" s="25">
        <v>6665.9887060489509</v>
      </c>
      <c r="CI164" s="25">
        <v>6639.6171511434559</v>
      </c>
      <c r="CJ164" s="25">
        <v>6613.433452842447</v>
      </c>
      <c r="CK164" s="25">
        <v>6587.5035278566693</v>
      </c>
      <c r="CL164" s="25">
        <v>6561.9054350365477</v>
      </c>
      <c r="CM164" s="25">
        <v>6536.7317234739012</v>
      </c>
      <c r="CN164" s="25">
        <v>6512.0922285078404</v>
      </c>
      <c r="CO164" s="25">
        <v>6488.1173668391621</v>
      </c>
      <c r="CP164" s="25">
        <v>6464.9619532041224</v>
      </c>
      <c r="CQ164" s="25">
        <v>6442.8094948081925</v>
      </c>
      <c r="CR164" s="25">
        <v>6421.8767856446366</v>
      </c>
      <c r="CS164" s="25">
        <v>6402.4183705877922</v>
      </c>
      <c r="CT164" s="25">
        <v>6384.7299992934368</v>
      </c>
      <c r="CU164" s="25">
        <v>6369.1494267445332</v>
      </c>
      <c r="CV164" s="25">
        <v>6356.05169665415</v>
      </c>
      <c r="CW164" s="25">
        <v>6345.8342511997744</v>
      </c>
      <c r="CX164" s="25">
        <v>6338.8849490254643</v>
      </c>
      <c r="CY164" s="25">
        <v>6335.5241429503385</v>
      </c>
      <c r="CZ164" s="25">
        <v>6335.9128719362652</v>
      </c>
      <c r="DA164" s="25">
        <v>6339.9288013792629</v>
      </c>
      <c r="DB164" s="25">
        <v>6347.0402212543158</v>
      </c>
      <c r="DC164" s="44">
        <f t="shared" si="32"/>
        <v>6356.2666666666628</v>
      </c>
      <c r="DD164" s="5">
        <f t="shared" si="31"/>
        <v>28</v>
      </c>
      <c r="DE164" s="30" cm="1">
        <f t="array" ref="DE164">1/2*(rf-q)*DD164*dt-1/2*(sigma^2)*(DD164^2)*dt</f>
        <v>-0.59168702465753409</v>
      </c>
      <c r="DF164" s="25">
        <f t="shared" si="33"/>
        <v>2.1910967890410955</v>
      </c>
      <c r="DG164" s="6">
        <f t="shared" si="34"/>
        <v>-0.59914346301369847</v>
      </c>
      <c r="DH164" s="5">
        <f t="shared" si="35"/>
        <v>1045.2766668463319</v>
      </c>
      <c r="DI164" s="6">
        <v>7424.6963237166774</v>
      </c>
    </row>
    <row r="165" spans="10:113" x14ac:dyDescent="0.25">
      <c r="N165" s="16">
        <f>(O164*$C$15+O166*(1-$C$15))*EXP(-$C$9*$C$13)</f>
        <v>14932.566234386197</v>
      </c>
      <c r="O165" s="15">
        <f>N164*$C$14</f>
        <v>22083.416403078842</v>
      </c>
      <c r="P165" s="16">
        <f>(Q164*$C$15+Q166*(1-$C$15))*EXP(-$C$9*$C$13)</f>
        <v>14931.961024632816</v>
      </c>
      <c r="Q165" s="15">
        <f>P166/$C$14</f>
        <v>22083.416403078842</v>
      </c>
      <c r="R165" s="16">
        <f>(S164*$C$15+S166*(1-$C$15))*EXP(-$C$9*$C$13)</f>
        <v>14932.089168639706</v>
      </c>
      <c r="S165" s="15">
        <f>R166/$C$14</f>
        <v>22083.416403078842</v>
      </c>
      <c r="T165" s="16">
        <f>(U164*$C$15+U166*(1-$C$15))*EXP(-$C$9*$C$13)</f>
        <v>14932.97641059255</v>
      </c>
      <c r="U165" s="15">
        <f>T166/$C$14</f>
        <v>22083.416403078842</v>
      </c>
      <c r="V165" s="16">
        <f>(W164*$C$15+W166*(1-$C$15))*EXP(-$C$9*$C$13)</f>
        <v>14934.644145599994</v>
      </c>
      <c r="W165" s="15">
        <f>V166/$C$14</f>
        <v>22083.416403078842</v>
      </c>
      <c r="X165" s="16">
        <f>(Y164*$C$15+Y166*(1-$C$15))*EXP(-$C$9*$C$13)</f>
        <v>14937.107589753687</v>
      </c>
      <c r="Y165" s="15">
        <f>X166/$C$14</f>
        <v>22083.416403078842</v>
      </c>
      <c r="Z165" s="16">
        <f>(AA164*$C$15+AA166*(1-$C$15))*EXP(-$C$9*$C$13)</f>
        <v>14940.373489920181</v>
      </c>
      <c r="AA165" s="15">
        <f>Z166/$C$14</f>
        <v>22083.416403078842</v>
      </c>
      <c r="AB165" s="16">
        <f>(AC164*$C$15+AC166*(1-$C$15))*EXP(-$C$9*$C$13)</f>
        <v>14944.437320338166</v>
      </c>
      <c r="AC165" s="15">
        <f>AB166/$C$14</f>
        <v>22083.416403078842</v>
      </c>
      <c r="AD165" s="16">
        <f>(AE164*$C$15+AE166*(1-$C$15))*EXP(-$C$9*$C$13)</f>
        <v>14949.279960617867</v>
      </c>
      <c r="AE165" s="15">
        <f>AD166/$C$14</f>
        <v>22083.416403078842</v>
      </c>
      <c r="AF165" s="16">
        <f>(AG164*$C$15+AG166*(1-$C$15))*EXP(-$C$9*$C$13)</f>
        <v>14954.863958763486</v>
      </c>
      <c r="AG165" s="15">
        <f>AF166/$C$14</f>
        <v>22083.416403078842</v>
      </c>
      <c r="AH165" s="16">
        <f>(AI164*$C$15+AI166*(1-$C$15))*EXP(-$C$9*$C$13)</f>
        <v>14961.129704846235</v>
      </c>
      <c r="AI165" s="15">
        <f>AH166/$C$14</f>
        <v>22083.416403078842</v>
      </c>
      <c r="AJ165" s="16">
        <f>(AK164*$C$15+AK166*(1-$C$15))*EXP(-$C$9*$C$13)</f>
        <v>14967.992259688473</v>
      </c>
      <c r="AK165" s="15">
        <f>AJ166/$C$14</f>
        <v>22083.416403078842</v>
      </c>
      <c r="AL165" s="16">
        <f>(AM164*$C$15+AM166*(1-$C$15))*EXP(-$C$9*$C$13)</f>
        <v>14975.340316769099</v>
      </c>
      <c r="AM165" s="15">
        <f>AL166/$C$14</f>
        <v>22083.416403078842</v>
      </c>
      <c r="AN165" s="16">
        <f>(AO164*$C$15+AO166*(1-$C$15))*EXP(-$C$9*$C$13)</f>
        <v>14983.039930254128</v>
      </c>
      <c r="AO165" s="15">
        <f>AN166/$C$14</f>
        <v>22083.416403078842</v>
      </c>
      <c r="AP165" s="16">
        <f>(AQ164*$C$15+AQ166*(1-$C$15))*EXP(-$C$9*$C$13)</f>
        <v>14990.947066011409</v>
      </c>
      <c r="AQ165" s="15">
        <f>AP166/$C$14</f>
        <v>22083.416403078842</v>
      </c>
      <c r="AR165" s="16">
        <f>(AS164*$C$15+AS166*(1-$C$15))*EXP(-$C$9*$C$13)</f>
        <v>14998.933412075967</v>
      </c>
      <c r="AS165" s="15">
        <f>AR166/$C$14</f>
        <v>22083.416403078842</v>
      </c>
      <c r="AT165" s="16">
        <f>(AU164*$C$15+AU166*(1-$C$15))*EXP(-$C$9*$C$13)</f>
        <v>15006.924012823243</v>
      </c>
      <c r="AU165" s="15">
        <f>AT166/$C$14</f>
        <v>22083.416403078842</v>
      </c>
      <c r="AV165" s="16">
        <f>(AW164*$C$15+AW166*(1-$C$15))*EXP(-$C$9*$C$13)</f>
        <v>15014.918870519899</v>
      </c>
      <c r="AW165" s="15">
        <f>AV166/$C$14</f>
        <v>22083.416403078842</v>
      </c>
      <c r="AX165" s="16">
        <f>(AY164*$C$15+AY166*(1-$C$15))*EXP(-$C$9*$C$13)</f>
        <v>15022.917987433808</v>
      </c>
      <c r="AY165" s="15">
        <f>AX166/$C$14</f>
        <v>22083.416403078842</v>
      </c>
      <c r="AZ165" s="16">
        <f>(BA164*$C$15+BA166*(1-$C$15))*EXP(-$C$9*$C$13)</f>
        <v>15030.921365834036</v>
      </c>
      <c r="BA165" s="15">
        <f>AZ166/$C$14</f>
        <v>22083.416403078842</v>
      </c>
      <c r="BB165" s="16">
        <f>MAX(0,$C$8-BB164)</f>
        <v>15038.929007990871</v>
      </c>
      <c r="BD165" s="23">
        <f t="shared" si="29"/>
        <v>30513.600000000115</v>
      </c>
      <c r="BE165" s="25">
        <v>8202.08376972517</v>
      </c>
      <c r="BF165" s="25">
        <v>8182.4069111508015</v>
      </c>
      <c r="BG165" s="25">
        <v>8162.647168615581</v>
      </c>
      <c r="BH165" s="25">
        <v>8142.806846225385</v>
      </c>
      <c r="BI165" s="25">
        <v>8122.888567208257</v>
      </c>
      <c r="BJ165" s="25">
        <v>8102.8953087510436</v>
      </c>
      <c r="BK165" s="25">
        <v>8082.8304409596303</v>
      </c>
      <c r="BL165" s="25">
        <v>8062.6977704895253</v>
      </c>
      <c r="BM165" s="25">
        <v>8042.5015894741764</v>
      </c>
      <c r="BN165" s="25">
        <v>8022.2467304720858</v>
      </c>
      <c r="BO165" s="25">
        <v>8001.9386282624882</v>
      </c>
      <c r="BP165" s="25">
        <v>7981.5833894460411</v>
      </c>
      <c r="BQ165" s="25">
        <v>7961.1878709541998</v>
      </c>
      <c r="BR165" s="25">
        <v>7940.7597687426296</v>
      </c>
      <c r="BS165" s="25">
        <v>7920.3077181439294</v>
      </c>
      <c r="BT165" s="25">
        <v>7899.8414075876499</v>
      </c>
      <c r="BU165" s="25">
        <v>7879.3717076666808</v>
      </c>
      <c r="BV165" s="25">
        <v>7858.9108178437009</v>
      </c>
      <c r="BW165" s="25">
        <v>7838.4724334563089</v>
      </c>
      <c r="BX165" s="25">
        <v>7818.0719361006941</v>
      </c>
      <c r="BY165" s="25">
        <v>7797.7266109574566</v>
      </c>
      <c r="BZ165" s="25">
        <v>7777.4558951742511</v>
      </c>
      <c r="CA165" s="25">
        <v>7757.2816620406184</v>
      </c>
      <c r="CB165" s="25">
        <v>7737.2285463775634</v>
      </c>
      <c r="CC165" s="25">
        <v>7717.324317306533</v>
      </c>
      <c r="CD165" s="25">
        <v>7697.6003053317072</v>
      </c>
      <c r="CE165" s="25">
        <v>7678.0918914140748</v>
      </c>
      <c r="CF165" s="25">
        <v>7658.8390663415248</v>
      </c>
      <c r="CG165" s="25">
        <v>7639.8870690485574</v>
      </c>
      <c r="CH165" s="25">
        <v>7621.2871123501145</v>
      </c>
      <c r="CI165" s="25">
        <v>7603.0972034053084</v>
      </c>
      <c r="CJ165" s="25">
        <v>7585.3830634472142</v>
      </c>
      <c r="CK165" s="25">
        <v>7568.2191458523375</v>
      </c>
      <c r="CL165" s="25">
        <v>7551.689741847812</v>
      </c>
      <c r="CM165" s="25">
        <v>7535.8901465765239</v>
      </c>
      <c r="CN165" s="25">
        <v>7520.9278311230319</v>
      </c>
      <c r="CO165" s="25">
        <v>7506.9235229669584</v>
      </c>
      <c r="CP165" s="25">
        <v>7494.0120304081056</v>
      </c>
      <c r="CQ165" s="25">
        <v>7482.3425453628306</v>
      </c>
      <c r="CR165" s="25">
        <v>7472.0780107968003</v>
      </c>
      <c r="CS165" s="25">
        <v>7463.3929311554348</v>
      </c>
      <c r="CT165" s="25">
        <v>7456.4687306042269</v>
      </c>
      <c r="CU165" s="25">
        <v>7451.4854421242007</v>
      </c>
      <c r="CV165" s="25">
        <v>7448.6082152187182</v>
      </c>
      <c r="CW165" s="25">
        <v>7447.967055305201</v>
      </c>
      <c r="CX165" s="25">
        <v>7449.6287639908196</v>
      </c>
      <c r="CY165" s="25">
        <v>7453.5619707136875</v>
      </c>
      <c r="CZ165" s="25">
        <v>7459.6004917241189</v>
      </c>
      <c r="DA165" s="25">
        <v>7467.4179457565924</v>
      </c>
      <c r="DB165" s="25">
        <v>7476.536692421847</v>
      </c>
      <c r="DC165" s="44">
        <f t="shared" si="32"/>
        <v>7486.3999999999978</v>
      </c>
      <c r="DD165" s="5">
        <f t="shared" si="31"/>
        <v>27</v>
      </c>
      <c r="DE165" s="30" cm="1">
        <f t="array" ref="DE165">1/2*(rf-q)*DD165*dt-1/2*(sigma^2)*(DD165^2)*dt</f>
        <v>-0.55004997328767113</v>
      </c>
      <c r="DF165" s="25">
        <f t="shared" si="33"/>
        <v>2.1075563849315069</v>
      </c>
      <c r="DG165" s="6">
        <f t="shared" si="34"/>
        <v>-0.55724011027397247</v>
      </c>
      <c r="DH165" s="5">
        <f t="shared" si="35"/>
        <v>715.68376972991427</v>
      </c>
      <c r="DI165" s="6">
        <v>8221.6757281688897</v>
      </c>
    </row>
    <row r="166" spans="10:113" x14ac:dyDescent="0.25">
      <c r="O166" s="16">
        <f>(P165*$C$15+P167*(1-$C$15))*EXP(-$C$9*$C$13)</f>
        <v>15782.140672559497</v>
      </c>
      <c r="P166" s="15">
        <f>O165*$C$14</f>
        <v>21239.308924287212</v>
      </c>
      <c r="Q166" s="16">
        <f>(R165*$C$15+R167*(1-$C$15))*EXP(-$C$9*$C$13)</f>
        <v>15784.935025864706</v>
      </c>
      <c r="R166" s="15">
        <f>Q167/$C$14</f>
        <v>21239.308924287212</v>
      </c>
      <c r="S166" s="16">
        <f>(T165*$C$15+T167*(1-$C$15))*EXP(-$C$9*$C$13)</f>
        <v>15788.349828628303</v>
      </c>
      <c r="T166" s="15">
        <f>S167/$C$14</f>
        <v>21239.308924287212</v>
      </c>
      <c r="U166" s="16">
        <f>(V165*$C$15+V167*(1-$C$15))*EXP(-$C$9*$C$13)</f>
        <v>15792.389557517725</v>
      </c>
      <c r="V166" s="15">
        <f>U167/$C$14</f>
        <v>21239.308924287212</v>
      </c>
      <c r="W166" s="16">
        <f>(X165*$C$15+X167*(1-$C$15))*EXP(-$C$9*$C$13)</f>
        <v>15797.052314511919</v>
      </c>
      <c r="X166" s="15">
        <f>W167/$C$14</f>
        <v>21239.308924287212</v>
      </c>
      <c r="Y166" s="16">
        <f>(Z165*$C$15+Z167*(1-$C$15))*EXP(-$C$9*$C$13)</f>
        <v>15802.328236040516</v>
      </c>
      <c r="Z166" s="15">
        <f>Y167/$C$14</f>
        <v>21239.308924287212</v>
      </c>
      <c r="AA166" s="16">
        <f>(AB165*$C$15+AB167*(1-$C$15))*EXP(-$C$9*$C$13)</f>
        <v>15808.197722386994</v>
      </c>
      <c r="AB166" s="15">
        <f>AA167/$C$14</f>
        <v>21239.308924287212</v>
      </c>
      <c r="AC166" s="16">
        <f>(AD165*$C$15+AD167*(1-$C$15))*EXP(-$C$9*$C$13)</f>
        <v>15814.629581260542</v>
      </c>
      <c r="AD166" s="15">
        <f>AC167/$C$14</f>
        <v>21239.308924287212</v>
      </c>
      <c r="AE166" s="16">
        <f>(AF165*$C$15+AF167*(1-$C$15))*EXP(-$C$9*$C$13)</f>
        <v>15821.57928379807</v>
      </c>
      <c r="AF166" s="15">
        <f>AE167/$C$14</f>
        <v>21239.308924287212</v>
      </c>
      <c r="AG166" s="16">
        <f>(AH165*$C$15+AH167*(1-$C$15))*EXP(-$C$9*$C$13)</f>
        <v>15828.987702348515</v>
      </c>
      <c r="AH166" s="15">
        <f>AG167/$C$14</f>
        <v>21239.308924287212</v>
      </c>
      <c r="AI166" s="16">
        <f>(AJ165*$C$15+AJ167*(1-$C$15))*EXP(-$C$9*$C$13)</f>
        <v>15836.780962202434</v>
      </c>
      <c r="AJ166" s="15">
        <f>AI167/$C$14</f>
        <v>21239.308924287212</v>
      </c>
      <c r="AK166" s="16">
        <f>(AL165*$C$15+AL167*(1-$C$15))*EXP(-$C$9*$C$13)</f>
        <v>15844.87240217679</v>
      </c>
      <c r="AL166" s="15">
        <f>AK167/$C$14</f>
        <v>21239.308924287212</v>
      </c>
      <c r="AM166" s="16">
        <f>(AN165*$C$15+AN167*(1-$C$15))*EXP(-$C$9*$C$13)</f>
        <v>15853.168030743662</v>
      </c>
      <c r="AN166" s="15">
        <f>AM167/$C$14</f>
        <v>21239.308924287212</v>
      </c>
      <c r="AO166" s="16">
        <f>(AP165*$C$15+AP167*(1-$C$15))*EXP(-$C$9*$C$13)</f>
        <v>15861.576961882958</v>
      </c>
      <c r="AP166" s="15">
        <f>AO167/$C$14</f>
        <v>21239.308924287212</v>
      </c>
      <c r="AQ166" s="16">
        <f>(AR165*$C$15+AR167*(1-$C$15))*EXP(-$C$9*$C$13)</f>
        <v>15870.027131321178</v>
      </c>
      <c r="AR166" s="15">
        <f>AQ167/$C$14</f>
        <v>21239.308924287212</v>
      </c>
      <c r="AS166" s="16">
        <f>(AT165*$C$15+AT167*(1-$C$15))*EXP(-$C$9*$C$13)</f>
        <v>15878.481802541519</v>
      </c>
      <c r="AT166" s="15">
        <f>AS167/$C$14</f>
        <v>21239.308924287212</v>
      </c>
      <c r="AU166" s="16">
        <f>(AV165*$C$15+AV167*(1-$C$15))*EXP(-$C$9*$C$13)</f>
        <v>15886.940977942273</v>
      </c>
      <c r="AV166" s="15">
        <f>AU167/$C$14</f>
        <v>21239.308924287212</v>
      </c>
      <c r="AW166" s="16">
        <f>(AX165*$C$15+AX167*(1-$C$15))*EXP(-$C$9*$C$13)</f>
        <v>15895.404659923026</v>
      </c>
      <c r="AX166" s="15">
        <f>AW167/$C$14</f>
        <v>21239.308924287212</v>
      </c>
      <c r="AY166" s="16">
        <f>(AZ165*$C$15+AZ167*(1-$C$15))*EXP(-$C$9*$C$13)</f>
        <v>15903.872850884631</v>
      </c>
      <c r="AZ166" s="15">
        <f>AY167/$C$14</f>
        <v>21239.308924287212</v>
      </c>
      <c r="BA166" s="16">
        <f>(BB165*$C$15+BB167*(1-$C$15))*EXP(-$C$9*$C$13)</f>
        <v>15912.345553229225</v>
      </c>
      <c r="BB166" s="15">
        <f>BA167/$C$14</f>
        <v>21239.308924287212</v>
      </c>
      <c r="BD166" s="23">
        <f t="shared" si="29"/>
        <v>29383.46666666678</v>
      </c>
      <c r="BE166" s="25">
        <v>9052.8325169269829</v>
      </c>
      <c r="BF166" s="25">
        <v>9036.9810001134683</v>
      </c>
      <c r="BG166" s="25">
        <v>9021.1219908141447</v>
      </c>
      <c r="BH166" s="25">
        <v>9005.2603970019736</v>
      </c>
      <c r="BI166" s="25">
        <v>8989.4015589788251</v>
      </c>
      <c r="BJ166" s="25">
        <v>8973.5512886213201</v>
      </c>
      <c r="BK166" s="25">
        <v>8957.7159126126953</v>
      </c>
      <c r="BL166" s="25">
        <v>8941.9023201075961</v>
      </c>
      <c r="BM166" s="25">
        <v>8926.118015329077</v>
      </c>
      <c r="BN166" s="25">
        <v>8910.3711756560879</v>
      </c>
      <c r="BO166" s="25">
        <v>8894.6707158246991</v>
      </c>
      <c r="BP166" s="25">
        <v>8879.0263589379028</v>
      </c>
      <c r="BQ166" s="25">
        <v>8863.4487150576206</v>
      </c>
      <c r="BR166" s="25">
        <v>8847.9493682373413</v>
      </c>
      <c r="BS166" s="25">
        <v>8832.5409729451912</v>
      </c>
      <c r="BT166" s="25">
        <v>8817.2373609230399</v>
      </c>
      <c r="BU166" s="25">
        <v>8802.053659625446</v>
      </c>
      <c r="BV166" s="25">
        <v>8787.0064234792226</v>
      </c>
      <c r="BW166" s="25">
        <v>8772.1137792937116</v>
      </c>
      <c r="BX166" s="25">
        <v>8757.3955872248825</v>
      </c>
      <c r="BY166" s="25">
        <v>8742.8736187389077</v>
      </c>
      <c r="BZ166" s="25">
        <v>8728.5717530134625</v>
      </c>
      <c r="CA166" s="25">
        <v>8714.516193127738</v>
      </c>
      <c r="CB166" s="25">
        <v>8700.73570318362</v>
      </c>
      <c r="CC166" s="25">
        <v>8687.2618671096043</v>
      </c>
      <c r="CD166" s="25">
        <v>8674.1293692404379</v>
      </c>
      <c r="CE166" s="25">
        <v>8661.37629571666</v>
      </c>
      <c r="CF166" s="25">
        <v>8649.0444541388042</v>
      </c>
      <c r="CG166" s="25">
        <v>8637.1797065003029</v>
      </c>
      <c r="CH166" s="25">
        <v>8625.8323068799345</v>
      </c>
      <c r="CI166" s="25">
        <v>8615.0572302431774</v>
      </c>
      <c r="CJ166" s="25">
        <v>8604.9144713672958</v>
      </c>
      <c r="CK166" s="25">
        <v>8595.4692825538477</v>
      </c>
      <c r="CL166" s="25">
        <v>8586.7923043819283</v>
      </c>
      <c r="CM166" s="25">
        <v>8578.9595240130584</v>
      </c>
      <c r="CN166" s="25">
        <v>8572.0519690565361</v>
      </c>
      <c r="CO166" s="25">
        <v>8566.1550103991503</v>
      </c>
      <c r="CP166" s="25">
        <v>8561.3571039963444</v>
      </c>
      <c r="CQ166" s="25">
        <v>8557.7477505065981</v>
      </c>
      <c r="CR166" s="25">
        <v>8555.4143978635293</v>
      </c>
      <c r="CS166" s="25">
        <v>8554.4379681305163</v>
      </c>
      <c r="CT166" s="25">
        <v>8554.8866825753812</v>
      </c>
      <c r="CU166" s="25">
        <v>8556.8079360397114</v>
      </c>
      <c r="CV166" s="25">
        <v>8560.2182126126918</v>
      </c>
      <c r="CW166" s="25">
        <v>8565.0915535940167</v>
      </c>
      <c r="CX166" s="25">
        <v>8571.3480177417605</v>
      </c>
      <c r="CY166" s="25">
        <v>8578.8449908892471</v>
      </c>
      <c r="CZ166" s="25">
        <v>8587.3759504811096</v>
      </c>
      <c r="DA166" s="25">
        <v>8596.6826349238399</v>
      </c>
      <c r="DB166" s="25">
        <v>8606.4857383603958</v>
      </c>
      <c r="DC166" s="44">
        <f t="shared" si="32"/>
        <v>8616.5333333333292</v>
      </c>
      <c r="DD166" s="5">
        <f t="shared" si="31"/>
        <v>26</v>
      </c>
      <c r="DE166" s="30" cm="1">
        <f t="array" ref="DE166">1/2*(rf-q)*DD166*dt-1/2*(sigma^2)*(DD166^2)*dt</f>
        <v>-0.50993183835616429</v>
      </c>
      <c r="DF166" s="25">
        <f t="shared" si="33"/>
        <v>2.0270538136986298</v>
      </c>
      <c r="DG166" s="6">
        <f t="shared" si="34"/>
        <v>-0.51685567397260268</v>
      </c>
      <c r="DH166" s="5">
        <f t="shared" si="35"/>
        <v>436.29918359987096</v>
      </c>
      <c r="DI166" s="6">
        <v>9068.6720299528006</v>
      </c>
    </row>
    <row r="167" spans="10:113" x14ac:dyDescent="0.25">
      <c r="P167" s="16">
        <f>(Q166*$C$15+Q168*(1-$C$15))*EXP(-$C$9*$C$13)</f>
        <v>16608.0694642134</v>
      </c>
      <c r="Q167" s="15">
        <f>P166*$C$14</f>
        <v>20427.466264613544</v>
      </c>
      <c r="R167" s="16">
        <f>(S166*$C$15+S168*(1-$C$15))*EXP(-$C$9*$C$13)</f>
        <v>16613.429574753824</v>
      </c>
      <c r="S167" s="15">
        <f>R168/$C$14</f>
        <v>20427.466264613544</v>
      </c>
      <c r="T167" s="16">
        <f>(U166*$C$15+U168*(1-$C$15))*EXP(-$C$9*$C$13)</f>
        <v>16619.277110088857</v>
      </c>
      <c r="U167" s="15">
        <f>T168/$C$14</f>
        <v>20427.466264613544</v>
      </c>
      <c r="V167" s="16">
        <f>(W166*$C$15+W168*(1-$C$15))*EXP(-$C$9*$C$13)</f>
        <v>16625.600277467336</v>
      </c>
      <c r="W167" s="15">
        <f>V168/$C$14</f>
        <v>20427.466264613544</v>
      </c>
      <c r="X167" s="16">
        <f>(Y166*$C$15+Y168*(1-$C$15))*EXP(-$C$9*$C$13)</f>
        <v>16632.380717926651</v>
      </c>
      <c r="Y167" s="15">
        <f>X168/$C$14</f>
        <v>20427.466264613544</v>
      </c>
      <c r="Z167" s="16">
        <f>(AA166*$C$15+AA168*(1-$C$15))*EXP(-$C$9*$C$13)</f>
        <v>16639.592587216404</v>
      </c>
      <c r="AA167" s="15">
        <f>Z168/$C$14</f>
        <v>20427.466264613544</v>
      </c>
      <c r="AB167" s="16">
        <f>(AC166*$C$15+AC168*(1-$C$15))*EXP(-$C$9*$C$13)</f>
        <v>16647.20177760486</v>
      </c>
      <c r="AC167" s="15">
        <f>AB168/$C$14</f>
        <v>20427.466264613544</v>
      </c>
      <c r="AD167" s="16">
        <f>(AE166*$C$15+AE168*(1-$C$15))*EXP(-$C$9*$C$13)</f>
        <v>16655.165470033789</v>
      </c>
      <c r="AE167" s="15">
        <f>AD168/$C$14</f>
        <v>20427.466264613544</v>
      </c>
      <c r="AF167" s="16">
        <f>(AG166*$C$15+AG168*(1-$C$15))*EXP(-$C$9*$C$13)</f>
        <v>16663.43230601008</v>
      </c>
      <c r="AG167" s="15">
        <f>AF168/$C$14</f>
        <v>20427.466264613544</v>
      </c>
      <c r="AH167" s="16">
        <f>(AI166*$C$15+AI168*(1-$C$15))*EXP(-$C$9*$C$13)</f>
        <v>16671.943590832198</v>
      </c>
      <c r="AI167" s="15">
        <f>AH168/$C$14</f>
        <v>20427.466264613544</v>
      </c>
      <c r="AJ167" s="16">
        <f>(AK166*$C$15+AK168*(1-$C$15))*EXP(-$C$9*$C$13)</f>
        <v>16680.636052736143</v>
      </c>
      <c r="AK167" s="15">
        <f>AJ168/$C$14</f>
        <v>20427.466264613544</v>
      </c>
      <c r="AL167" s="16">
        <f>(AM166*$C$15+AM168*(1-$C$15))*EXP(-$C$9*$C$13)</f>
        <v>16689.446688563741</v>
      </c>
      <c r="AM167" s="15">
        <f>AL168/$C$14</f>
        <v>20427.466264613544</v>
      </c>
      <c r="AN167" s="16">
        <f>(AO166*$C$15+AO168*(1-$C$15))*EXP(-$C$9*$C$13)</f>
        <v>16698.319884786117</v>
      </c>
      <c r="AO167" s="15">
        <f>AN168/$C$14</f>
        <v>20427.466264613544</v>
      </c>
      <c r="AP167" s="16">
        <f>(AQ166*$C$15+AQ168*(1-$C$15))*EXP(-$C$9*$C$13)</f>
        <v>16707.215824496216</v>
      </c>
      <c r="AQ167" s="15">
        <f>AP168/$C$14</f>
        <v>20427.466264613544</v>
      </c>
      <c r="AR167" s="16">
        <f>(AS166*$C$15+AS168*(1-$C$15))*EXP(-$C$9*$C$13)</f>
        <v>16716.116503470141</v>
      </c>
      <c r="AS167" s="15">
        <f>AR168/$C$14</f>
        <v>20427.466264613544</v>
      </c>
      <c r="AT167" s="16">
        <f>(AU166*$C$15+AU168*(1-$C$15))*EXP(-$C$9*$C$13)</f>
        <v>16725.021924232704</v>
      </c>
      <c r="AU167" s="15">
        <f>AT168/$C$14</f>
        <v>20427.466264613544</v>
      </c>
      <c r="AV167" s="16">
        <f>(AW166*$C$15+AW168*(1-$C$15))*EXP(-$C$9*$C$13)</f>
        <v>16733.93208931007</v>
      </c>
      <c r="AW167" s="15">
        <f>AV168/$C$14</f>
        <v>20427.466264613544</v>
      </c>
      <c r="AX167" s="16">
        <f>(AY166*$C$15+AY168*(1-$C$15))*EXP(-$C$9*$C$13)</f>
        <v>16742.847001229744</v>
      </c>
      <c r="AY167" s="15">
        <f>AX168/$C$14</f>
        <v>20427.466264613544</v>
      </c>
      <c r="AZ167" s="16">
        <f>(BA166*$C$15+BA168*(1-$C$15))*EXP(-$C$9*$C$13)</f>
        <v>16751.766662520582</v>
      </c>
      <c r="BA167" s="15">
        <f>AZ168/$C$14</f>
        <v>20427.466264613544</v>
      </c>
      <c r="BB167" s="16">
        <f>MAX(0,$C$8-BB166)</f>
        <v>16760.691075712788</v>
      </c>
      <c r="BD167" s="23">
        <f t="shared" si="29"/>
        <v>28253.333333333445</v>
      </c>
      <c r="BE167" s="25">
        <v>9950.9459140045146</v>
      </c>
      <c r="BF167" s="25">
        <v>9938.9780942857597</v>
      </c>
      <c r="BG167" s="25">
        <v>9927.069568543382</v>
      </c>
      <c r="BH167" s="25">
        <v>9915.2270387185981</v>
      </c>
      <c r="BI167" s="25">
        <v>9903.4576770884178</v>
      </c>
      <c r="BJ167" s="25">
        <v>9891.7691621839258</v>
      </c>
      <c r="BK167" s="25">
        <v>9880.1697176815105</v>
      </c>
      <c r="BL167" s="25">
        <v>9868.6681545090178</v>
      </c>
      <c r="BM167" s="25">
        <v>9857.2739164217001</v>
      </c>
      <c r="BN167" s="25">
        <v>9845.9971293138042</v>
      </c>
      <c r="BO167" s="25">
        <v>9834.8486545393589</v>
      </c>
      <c r="BP167" s="25">
        <v>9823.8401465185525</v>
      </c>
      <c r="BQ167" s="25">
        <v>9812.9841149018612</v>
      </c>
      <c r="BR167" s="25">
        <v>9802.2939915497591</v>
      </c>
      <c r="BS167" s="25">
        <v>9791.7842025576974</v>
      </c>
      <c r="BT167" s="25">
        <v>9781.4702455082042</v>
      </c>
      <c r="BU167" s="25">
        <v>9771.3687720582311</v>
      </c>
      <c r="BV167" s="25">
        <v>9761.4976758603352</v>
      </c>
      <c r="BW167" s="25">
        <v>9751.8761856591809</v>
      </c>
      <c r="BX167" s="25">
        <v>9742.5249631837305</v>
      </c>
      <c r="BY167" s="25">
        <v>9733.4662051500254</v>
      </c>
      <c r="BZ167" s="25">
        <v>9724.7237482711244</v>
      </c>
      <c r="CA167" s="25">
        <v>9716.323175605281</v>
      </c>
      <c r="CB167" s="25">
        <v>9708.2919218130446</v>
      </c>
      <c r="CC167" s="25">
        <v>9700.6593738808806</v>
      </c>
      <c r="CD167" s="25">
        <v>9693.4569625263612</v>
      </c>
      <c r="CE167" s="25">
        <v>9686.7182377343543</v>
      </c>
      <c r="CF167" s="25">
        <v>9680.4789195671838</v>
      </c>
      <c r="CG167" s="25">
        <v>9674.7769124043934</v>
      </c>
      <c r="CH167" s="25">
        <v>9669.6522669371443</v>
      </c>
      <c r="CI167" s="25">
        <v>9665.1470693919364</v>
      </c>
      <c r="CJ167" s="25">
        <v>9661.3052314185243</v>
      </c>
      <c r="CK167" s="25">
        <v>9658.1721467260159</v>
      </c>
      <c r="CL167" s="25">
        <v>9655.7941718918082</v>
      </c>
      <c r="CM167" s="25">
        <v>9654.2178790636917</v>
      </c>
      <c r="CN167" s="25">
        <v>9653.4890182734653</v>
      </c>
      <c r="CO167" s="25">
        <v>9653.65111836496</v>
      </c>
      <c r="CP167" s="25">
        <v>9654.7436510619937</v>
      </c>
      <c r="CQ167" s="25">
        <v>9656.7996875080571</v>
      </c>
      <c r="CR167" s="25">
        <v>9659.8429987382806</v>
      </c>
      <c r="CS167" s="25">
        <v>9663.8846028852295</v>
      </c>
      <c r="CT167" s="25">
        <v>9668.9188584697495</v>
      </c>
      <c r="CU167" s="25">
        <v>9674.9193634094063</v>
      </c>
      <c r="CV167" s="25">
        <v>9681.8351586938752</v>
      </c>
      <c r="CW167" s="25">
        <v>9689.5880525431021</v>
      </c>
      <c r="CX167" s="25">
        <v>9698.0722311634308</v>
      </c>
      <c r="CY167" s="25">
        <v>9707.1575791606501</v>
      </c>
      <c r="CZ167" s="25">
        <v>9716.6980422576307</v>
      </c>
      <c r="DA167" s="25">
        <v>9726.5455373649147</v>
      </c>
      <c r="DB167" s="25">
        <v>9736.5679499626876</v>
      </c>
      <c r="DC167" s="44">
        <f t="shared" si="32"/>
        <v>9746.6666666666642</v>
      </c>
      <c r="DD167" s="5">
        <f t="shared" si="31"/>
        <v>25</v>
      </c>
      <c r="DE167" s="30" cm="1">
        <f t="array" ref="DE167">1/2*(rf-q)*DD167*dt-1/2*(sigma^2)*(DD167^2)*dt</f>
        <v>-0.47133261986301361</v>
      </c>
      <c r="DF167" s="25">
        <f t="shared" si="33"/>
        <v>1.9495890753424654</v>
      </c>
      <c r="DG167" s="6">
        <f t="shared" si="34"/>
        <v>-0.47799015410958895</v>
      </c>
      <c r="DH167" s="5">
        <f t="shared" si="35"/>
        <v>204.27924734418048</v>
      </c>
      <c r="DI167" s="6">
        <v>9962.9667629212581</v>
      </c>
    </row>
    <row r="168" spans="10:113" x14ac:dyDescent="0.25">
      <c r="Q168" s="16">
        <f>(R167*$C$15+R169*(1-$C$15))*EXP(-$C$9*$C$13)</f>
        <v>17408.418353591656</v>
      </c>
      <c r="R168" s="15">
        <f>Q167*$C$14</f>
        <v>19646.655146804795</v>
      </c>
      <c r="S168" s="16">
        <f>(T167*$C$15+T169*(1-$C$15))*EXP(-$C$9*$C$13)</f>
        <v>17415.652215881775</v>
      </c>
      <c r="T168" s="15">
        <f>S169/$C$14</f>
        <v>19646.655146804795</v>
      </c>
      <c r="U168" s="16">
        <f>(V167*$C$15+V169*(1-$C$15))*EXP(-$C$9*$C$13)</f>
        <v>17423.241512106157</v>
      </c>
      <c r="V168" s="15">
        <f>U169/$C$14</f>
        <v>19646.655146804795</v>
      </c>
      <c r="W168" s="16">
        <f>(X167*$C$15+X169*(1-$C$15))*EXP(-$C$9*$C$13)</f>
        <v>17431.164926833993</v>
      </c>
      <c r="X168" s="15">
        <f>W169/$C$14</f>
        <v>19646.655146804795</v>
      </c>
      <c r="Y168" s="16">
        <f>(Z167*$C$15+Z169*(1-$C$15))*EXP(-$C$9*$C$13)</f>
        <v>17439.395920842409</v>
      </c>
      <c r="Z168" s="15">
        <f>Y169/$C$14</f>
        <v>19646.655146804795</v>
      </c>
      <c r="AA168" s="16">
        <f>(AB167*$C$15+AB169*(1-$C$15))*EXP(-$C$9*$C$13)</f>
        <v>17447.902630532175</v>
      </c>
      <c r="AB168" s="15">
        <f>AA169/$C$14</f>
        <v>19646.655146804795</v>
      </c>
      <c r="AC168" s="16">
        <f>(AD167*$C$15+AD169*(1-$C$15))*EXP(-$C$9*$C$13)</f>
        <v>17456.648126348213</v>
      </c>
      <c r="AD168" s="15">
        <f>AC169/$C$14</f>
        <v>19646.655146804795</v>
      </c>
      <c r="AE168" s="16">
        <f>(AF167*$C$15+AF169*(1-$C$15))*EXP(-$C$9*$C$13)</f>
        <v>17465.591211309584</v>
      </c>
      <c r="AF168" s="15">
        <f>AE169/$C$14</f>
        <v>19646.655146804795</v>
      </c>
      <c r="AG168" s="16">
        <f>(AH167*$C$15+AH169*(1-$C$15))*EXP(-$C$9*$C$13)</f>
        <v>17474.687972281543</v>
      </c>
      <c r="AH168" s="15">
        <f>AG169/$C$14</f>
        <v>19646.655146804795</v>
      </c>
      <c r="AI168" s="16">
        <f>(AJ167*$C$15+AJ169*(1-$C$15))*EXP(-$C$9*$C$13)</f>
        <v>17483.894283668473</v>
      </c>
      <c r="AJ168" s="15">
        <f>AI169/$C$14</f>
        <v>19646.655146804795</v>
      </c>
      <c r="AK168" s="16">
        <f>(AL167*$C$15+AL169*(1-$C$15))*EXP(-$C$9*$C$13)</f>
        <v>17493.16933603874</v>
      </c>
      <c r="AL168" s="15">
        <f>AK169/$C$14</f>
        <v>19646.655146804795</v>
      </c>
      <c r="AM168" s="16">
        <f>(AN167*$C$15+AN169*(1-$C$15))*EXP(-$C$9*$C$13)</f>
        <v>17502.479897198413</v>
      </c>
      <c r="AN168" s="15">
        <f>AM169/$C$14</f>
        <v>19646.655146804795</v>
      </c>
      <c r="AO168" s="16">
        <f>(AP167*$C$15+AP169*(1-$C$15))*EXP(-$C$9*$C$13)</f>
        <v>17511.804248810851</v>
      </c>
      <c r="AP168" s="15">
        <f>AO169/$C$14</f>
        <v>19646.655146804795</v>
      </c>
      <c r="AQ168" s="16">
        <f>(AR167*$C$15+AR169*(1-$C$15))*EXP(-$C$9*$C$13)</f>
        <v>17521.133567921239</v>
      </c>
      <c r="AR168" s="15">
        <f>AQ169/$C$14</f>
        <v>19646.655146804795</v>
      </c>
      <c r="AS168" s="16">
        <f>(AT167*$C$15+AT169*(1-$C$15))*EXP(-$C$9*$C$13)</f>
        <v>17530.467857175983</v>
      </c>
      <c r="AT168" s="15">
        <f>AS169/$C$14</f>
        <v>19646.655146804795</v>
      </c>
      <c r="AU168" s="16">
        <f>(AV167*$C$15+AV169*(1-$C$15))*EXP(-$C$9*$C$13)</f>
        <v>17539.807119222904</v>
      </c>
      <c r="AV168" s="15">
        <f>AU169/$C$14</f>
        <v>19646.655146804795</v>
      </c>
      <c r="AW168" s="16">
        <f>(AX167*$C$15+AX169*(1-$C$15))*EXP(-$C$9*$C$13)</f>
        <v>17549.151356711223</v>
      </c>
      <c r="AX168" s="15">
        <f>AW169/$C$14</f>
        <v>19646.655146804795</v>
      </c>
      <c r="AY168" s="16">
        <f>(AZ167*$C$15+AZ169*(1-$C$15))*EXP(-$C$9*$C$13)</f>
        <v>17558.500572291585</v>
      </c>
      <c r="AZ168" s="15">
        <f>AY169/$C$14</f>
        <v>19646.655146804795</v>
      </c>
      <c r="BA168" s="16">
        <f>(BB167*$C$15+BB169*(1-$C$15))*EXP(-$C$9*$C$13)</f>
        <v>17567.854768616042</v>
      </c>
      <c r="BB168" s="15">
        <f>BA169/$C$14</f>
        <v>19646.655146804795</v>
      </c>
      <c r="BD168" s="23">
        <f t="shared" si="29"/>
        <v>27123.20000000011</v>
      </c>
      <c r="BE168" s="25">
        <v>10892.75879223636</v>
      </c>
      <c r="BF168" s="25">
        <v>10884.596964027791</v>
      </c>
      <c r="BG168" s="25">
        <v>10876.547973978935</v>
      </c>
      <c r="BH168" s="25">
        <v>10868.619349240409</v>
      </c>
      <c r="BI168" s="25">
        <v>10860.819049902244</v>
      </c>
      <c r="BJ168" s="25">
        <v>10853.155495250445</v>
      </c>
      <c r="BK168" s="25">
        <v>10845.637591457287</v>
      </c>
      <c r="BL168" s="25">
        <v>10838.27476071242</v>
      </c>
      <c r="BM168" s="25">
        <v>10831.07697177863</v>
      </c>
      <c r="BN168" s="25">
        <v>10824.054771925363</v>
      </c>
      <c r="BO168" s="25">
        <v>10817.219320153063</v>
      </c>
      <c r="BP168" s="25">
        <v>10810.582421569381</v>
      </c>
      <c r="BQ168" s="25">
        <v>10804.156562711458</v>
      </c>
      <c r="BR168" s="25">
        <v>10797.954947523274</v>
      </c>
      <c r="BS168" s="25">
        <v>10791.991533588296</v>
      </c>
      <c r="BT168" s="25">
        <v>10786.281068080641</v>
      </c>
      <c r="BU168" s="25">
        <v>10780.839122724536</v>
      </c>
      <c r="BV168" s="25">
        <v>10775.682126834547</v>
      </c>
      <c r="BW168" s="25">
        <v>10770.827397237057</v>
      </c>
      <c r="BX168" s="25">
        <v>10766.29316353403</v>
      </c>
      <c r="BY168" s="25">
        <v>10762.098586749229</v>
      </c>
      <c r="BZ168" s="25">
        <v>10758.263768876295</v>
      </c>
      <c r="CA168" s="25">
        <v>10754.809750208298</v>
      </c>
      <c r="CB168" s="25">
        <v>10751.758490546288</v>
      </c>
      <c r="CC168" s="25">
        <v>10749.132829436838</v>
      </c>
      <c r="CD168" s="25">
        <v>10746.956419450904</v>
      </c>
      <c r="CE168" s="25">
        <v>10745.253625168834</v>
      </c>
      <c r="CF168" s="25">
        <v>10744.049378967047</v>
      </c>
      <c r="CG168" s="25">
        <v>10743.368982917331</v>
      </c>
      <c r="CH168" s="25">
        <v>10743.23784414854</v>
      </c>
      <c r="CI168" s="25">
        <v>10743.681128976183</v>
      </c>
      <c r="CJ168" s="25">
        <v>10744.723319157347</v>
      </c>
      <c r="CK168" s="25">
        <v>10746.387652091375</v>
      </c>
      <c r="CL168" s="25">
        <v>10748.695426172058</v>
      </c>
      <c r="CM168" s="25">
        <v>10751.66515359941</v>
      </c>
      <c r="CN168" s="25">
        <v>10755.311546953479</v>
      </c>
      <c r="CO168" s="25">
        <v>10759.644334377494</v>
      </c>
      <c r="CP168" s="25">
        <v>10764.666913519384</v>
      </c>
      <c r="CQ168" s="25">
        <v>10770.374879149053</v>
      </c>
      <c r="CR168" s="25">
        <v>10776.754496521362</v>
      </c>
      <c r="CS168" s="25">
        <v>10783.781244440359</v>
      </c>
      <c r="CT168" s="25">
        <v>10791.418618795653</v>
      </c>
      <c r="CU168" s="25">
        <v>10799.617464345612</v>
      </c>
      <c r="CV168" s="25">
        <v>10808.316175801654</v>
      </c>
      <c r="CW168" s="25">
        <v>10817.442150415842</v>
      </c>
      <c r="CX168" s="25">
        <v>10826.914835954478</v>
      </c>
      <c r="CY168" s="25">
        <v>10836.650535459616</v>
      </c>
      <c r="CZ168" s="25">
        <v>10846.568738938984</v>
      </c>
      <c r="DA168" s="25">
        <v>10856.599134783903</v>
      </c>
      <c r="DB168" s="25">
        <v>10866.687726751517</v>
      </c>
      <c r="DC168" s="44">
        <f t="shared" si="32"/>
        <v>10876.799999999996</v>
      </c>
      <c r="DD168" s="5">
        <f t="shared" si="31"/>
        <v>24</v>
      </c>
      <c r="DE168" s="30" cm="1">
        <f t="array" ref="DE168">1/2*(rf-q)*DD168*dt-1/2*(sigma^2)*(DD168^2)*dt</f>
        <v>-0.4342523178082191</v>
      </c>
      <c r="DF168" s="25">
        <f t="shared" si="33"/>
        <v>1.8751621698630134</v>
      </c>
      <c r="DG168" s="6">
        <f t="shared" si="34"/>
        <v>-0.44064355068493144</v>
      </c>
      <c r="DH168" s="5">
        <f t="shared" si="35"/>
        <v>15.958792244404322</v>
      </c>
      <c r="DI168" s="6">
        <v>10901.026339546288</v>
      </c>
    </row>
    <row r="169" spans="10:113" x14ac:dyDescent="0.25">
      <c r="R169" s="16">
        <f>(S168*$C$15+S170*(1-$C$15))*EXP(-$C$9*$C$13)</f>
        <v>18182.115588581783</v>
      </c>
      <c r="S169" s="15">
        <f>R168*$C$14</f>
        <v>18895.689433893367</v>
      </c>
      <c r="T169" s="16">
        <f>(U168*$C$15+U170*(1-$C$15))*EXP(-$C$9*$C$13)</f>
        <v>18190.686567076991</v>
      </c>
      <c r="U169" s="15">
        <f>T170/$C$14</f>
        <v>18895.689433893367</v>
      </c>
      <c r="V169" s="16">
        <f>(W168*$C$15+W170*(1-$C$15))*EXP(-$C$9*$C$13)</f>
        <v>18199.4975615125</v>
      </c>
      <c r="W169" s="15">
        <f>V170/$C$14</f>
        <v>18895.689433893367</v>
      </c>
      <c r="X169" s="16">
        <f>(Y168*$C$15+Y170*(1-$C$15))*EXP(-$C$9*$C$13)</f>
        <v>18208.524401858987</v>
      </c>
      <c r="Y169" s="15">
        <f>X170/$C$14</f>
        <v>18895.689433893367</v>
      </c>
      <c r="Z169" s="16">
        <f>(AA168*$C$15+AA170*(1-$C$15))*EXP(-$C$9*$C$13)</f>
        <v>18217.739866618849</v>
      </c>
      <c r="AA169" s="15">
        <f>Z170/$C$14</f>
        <v>18895.689433893367</v>
      </c>
      <c r="AB169" s="16">
        <f>(AC168*$C$15+AC170*(1-$C$15))*EXP(-$C$9*$C$13)</f>
        <v>18227.114233898072</v>
      </c>
      <c r="AC169" s="15">
        <f>AB170/$C$14</f>
        <v>18895.689433893367</v>
      </c>
      <c r="AD169" s="16">
        <f>(AE168*$C$15+AE170*(1-$C$15))*EXP(-$C$9*$C$13)</f>
        <v>18236.616219231302</v>
      </c>
      <c r="AE169" s="15">
        <f>AD170/$C$14</f>
        <v>18895.689433893367</v>
      </c>
      <c r="AF169" s="16">
        <f>(AG168*$C$15+AG170*(1-$C$15))*EXP(-$C$9*$C$13)</f>
        <v>18246.214377215147</v>
      </c>
      <c r="AG169" s="15">
        <f>AF170/$C$14</f>
        <v>18895.689433893367</v>
      </c>
      <c r="AH169" s="16">
        <f>(AI168*$C$15+AI170*(1-$C$15))*EXP(-$C$9*$C$13)</f>
        <v>18255.878988332763</v>
      </c>
      <c r="AI169" s="15">
        <f>AH170/$C$14</f>
        <v>18895.689433893367</v>
      </c>
      <c r="AJ169" s="16">
        <f>(AK168*$C$15+AK170*(1-$C$15))*EXP(-$C$9*$C$13)</f>
        <v>18265.584318266283</v>
      </c>
      <c r="AK169" s="15">
        <f>AJ170/$C$14</f>
        <v>18895.689433893367</v>
      </c>
      <c r="AL169" s="16">
        <f>(AM168*$C$15+AM170*(1-$C$15))*EXP(-$C$9*$C$13)</f>
        <v>18275.31088166402</v>
      </c>
      <c r="AM169" s="15">
        <f>AL170/$C$14</f>
        <v>18895.689433893367</v>
      </c>
      <c r="AN169" s="16">
        <f>(AO168*$C$15+AO170*(1-$C$15))*EXP(-$C$9*$C$13)</f>
        <v>18285.046954808407</v>
      </c>
      <c r="AO169" s="15">
        <f>AN170/$C$14</f>
        <v>18895.689433893367</v>
      </c>
      <c r="AP169" s="16">
        <f>(AQ168*$C$15+AQ170*(1-$C$15))*EXP(-$C$9*$C$13)</f>
        <v>18294.788214793167</v>
      </c>
      <c r="AQ169" s="15">
        <f>AP170/$C$14</f>
        <v>18895.689433893367</v>
      </c>
      <c r="AR169" s="16">
        <f>(AS168*$C$15+AS170*(1-$C$15))*EXP(-$C$9*$C$13)</f>
        <v>18304.53466438155</v>
      </c>
      <c r="AS169" s="15">
        <f>AR170/$C$14</f>
        <v>18895.689433893367</v>
      </c>
      <c r="AT169" s="16">
        <f>(AU168*$C$15+AU170*(1-$C$15))*EXP(-$C$9*$C$13)</f>
        <v>18314.286306338308</v>
      </c>
      <c r="AU169" s="15">
        <f>AT170/$C$14</f>
        <v>18895.689433893367</v>
      </c>
      <c r="AV169" s="16">
        <f>(AW168*$C$15+AW170*(1-$C$15))*EXP(-$C$9*$C$13)</f>
        <v>18324.043143429633</v>
      </c>
      <c r="AW169" s="15">
        <f>AV170/$C$14</f>
        <v>18895.689433893367</v>
      </c>
      <c r="AX169" s="16">
        <f>(AY168*$C$15+AY170*(1-$C$15))*EXP(-$C$9*$C$13)</f>
        <v>18333.805178423205</v>
      </c>
      <c r="AY169" s="15">
        <f>AX170/$C$14</f>
        <v>18895.689433893367</v>
      </c>
      <c r="AZ169" s="16">
        <f>(BA168*$C$15+BA170*(1-$C$15))*EXP(-$C$9*$C$13)</f>
        <v>18343.57241408819</v>
      </c>
      <c r="BA169" s="15">
        <f>AZ170/$C$14</f>
        <v>18895.689433893367</v>
      </c>
      <c r="BB169" s="16">
        <f>MAX(0,$C$8-BB168)</f>
        <v>18353.344853195205</v>
      </c>
      <c r="BD169" s="23">
        <f t="shared" si="29"/>
        <v>25993.066666666775</v>
      </c>
      <c r="BE169" s="25">
        <v>11873.908087383074</v>
      </c>
      <c r="BF169" s="25">
        <v>11869.343416594569</v>
      </c>
      <c r="BG169" s="25">
        <v>11864.928651810284</v>
      </c>
      <c r="BH169" s="25">
        <v>11860.671165174854</v>
      </c>
      <c r="BI169" s="25">
        <v>11856.578663627179</v>
      </c>
      <c r="BJ169" s="25">
        <v>11852.659202067556</v>
      </c>
      <c r="BK169" s="25">
        <v>11848.921196381336</v>
      </c>
      <c r="BL169" s="25">
        <v>11845.37343614113</v>
      </c>
      <c r="BM169" s="25">
        <v>11842.025096767311</v>
      </c>
      <c r="BN169" s="25">
        <v>11838.885750874797</v>
      </c>
      <c r="BO169" s="25">
        <v>11835.965378473045</v>
      </c>
      <c r="BP169" s="25">
        <v>11833.274375612553</v>
      </c>
      <c r="BQ169" s="25">
        <v>11830.823560983605</v>
      </c>
      <c r="BR169" s="25">
        <v>11828.624179868835</v>
      </c>
      <c r="BS169" s="25">
        <v>11826.687904727485</v>
      </c>
      <c r="BT169" s="25">
        <v>11825.026831543377</v>
      </c>
      <c r="BU169" s="25">
        <v>11823.653470896474</v>
      </c>
      <c r="BV169" s="25">
        <v>11822.580732516828</v>
      </c>
      <c r="BW169" s="25">
        <v>11821.821901845171</v>
      </c>
      <c r="BX169" s="25">
        <v>11821.39060685392</v>
      </c>
      <c r="BY169" s="25">
        <v>11821.300773072613</v>
      </c>
      <c r="BZ169" s="25">
        <v>11821.566564412011</v>
      </c>
      <c r="CA169" s="25">
        <v>11822.202306992342</v>
      </c>
      <c r="CB169" s="25">
        <v>11823.222392758404</v>
      </c>
      <c r="CC169" s="25">
        <v>11824.641159219629</v>
      </c>
      <c r="CD169" s="25">
        <v>11826.472741206555</v>
      </c>
      <c r="CE169" s="25">
        <v>11828.73089012182</v>
      </c>
      <c r="CF169" s="25">
        <v>11831.428755837007</v>
      </c>
      <c r="CG169" s="25">
        <v>11834.578626227974</v>
      </c>
      <c r="CH169" s="25">
        <v>11838.191619468238</v>
      </c>
      <c r="CI169" s="25">
        <v>11842.277324778721</v>
      </c>
      <c r="CJ169" s="25">
        <v>11846.843388589858</v>
      </c>
      <c r="CK169" s="25">
        <v>11851.895045308298</v>
      </c>
      <c r="CL169" s="25">
        <v>11857.434595475483</v>
      </c>
      <c r="CM169" s="25">
        <v>11863.460839513527</v>
      </c>
      <c r="CN169" s="25">
        <v>11869.968482974788</v>
      </c>
      <c r="CO169" s="25">
        <v>11876.947539715566</v>
      </c>
      <c r="CP169" s="25">
        <v>11884.382772996012</v>
      </c>
      <c r="CQ169" s="25">
        <v>11892.25323102981</v>
      </c>
      <c r="CR169" s="25">
        <v>11900.531951999137</v>
      </c>
      <c r="CS169" s="25">
        <v>11909.185931641134</v>
      </c>
      <c r="CT169" s="25">
        <v>11918.176459733289</v>
      </c>
      <c r="CU169" s="25">
        <v>11927.459932930598</v>
      </c>
      <c r="CV169" s="25">
        <v>11936.989230242531</v>
      </c>
      <c r="CW169" s="25">
        <v>11946.715681833004</v>
      </c>
      <c r="CX169" s="25">
        <v>11956.59156112283</v>
      </c>
      <c r="CY169" s="25">
        <v>11966.572882468428</v>
      </c>
      <c r="CZ169" s="25">
        <v>11976.62211053102</v>
      </c>
      <c r="DA169" s="25">
        <v>11986.710235522962</v>
      </c>
      <c r="DB169" s="25">
        <v>11996.81763415473</v>
      </c>
      <c r="DC169" s="44">
        <f t="shared" si="32"/>
        <v>12006.933333333331</v>
      </c>
      <c r="DD169" s="5">
        <f t="shared" si="31"/>
        <v>23</v>
      </c>
      <c r="DE169" s="30" cm="1">
        <f t="array" ref="DE169">1/2*(rf-q)*DD169*dt-1/2*(sigma^2)*(DD169^2)*dt</f>
        <v>-0.39869093219178076</v>
      </c>
      <c r="DF169" s="25">
        <f t="shared" ref="DF169:DF192" si="36">1+(sigma^2)*(DD169^2)*dt+rf*dt</f>
        <v>1.8037730972602739</v>
      </c>
      <c r="DG169" s="6">
        <f t="shared" ref="DG169:DG192" si="37">-0.5*dt*((rf-q)*DD169+sigma^2*DD169^2)</f>
        <v>-0.40481586369863004</v>
      </c>
      <c r="DH169" s="5">
        <f t="shared" si="35"/>
        <v>-133.02524594214628</v>
      </c>
      <c r="DI169" s="6">
        <v>11878.615613657099</v>
      </c>
    </row>
    <row r="170" spans="10:113" x14ac:dyDescent="0.25">
      <c r="S170" s="16">
        <f>(T169*$C$15+T171*(1-$C$15))*EXP(-$C$9*$C$13)</f>
        <v>18928.782012525437</v>
      </c>
      <c r="T170" s="15">
        <f>S169*$C$14</f>
        <v>18173.428327326103</v>
      </c>
      <c r="U170" s="16">
        <f>(V169*$C$15+V171*(1-$C$15))*EXP(-$C$9*$C$13)</f>
        <v>18938.301628148703</v>
      </c>
      <c r="V170" s="15">
        <f>U171/$C$14</f>
        <v>18173.428327326103</v>
      </c>
      <c r="W170" s="16">
        <f>(X169*$C$15+X171*(1-$C$15))*EXP(-$C$9*$C$13)</f>
        <v>18947.970879493732</v>
      </c>
      <c r="X170" s="15">
        <f>W171/$C$14</f>
        <v>18173.428327326103</v>
      </c>
      <c r="Y170" s="16">
        <f>(Z169*$C$15+Z171*(1-$C$15))*EXP(-$C$9*$C$13)</f>
        <v>18957.767862536988</v>
      </c>
      <c r="Z170" s="15">
        <f>Y171/$C$14</f>
        <v>18173.428327326103</v>
      </c>
      <c r="AA170" s="16">
        <f>(AB169*$C$15+AB171*(1-$C$15))*EXP(-$C$9*$C$13)</f>
        <v>18967.669806221664</v>
      </c>
      <c r="AB170" s="15">
        <f>AA171/$C$14</f>
        <v>18173.428327326103</v>
      </c>
      <c r="AC170" s="16">
        <f>(AD169*$C$15+AD171*(1-$C$15))*EXP(-$C$9*$C$13)</f>
        <v>18977.653905282612</v>
      </c>
      <c r="AD170" s="15">
        <f>AC171/$C$14</f>
        <v>18173.428327326103</v>
      </c>
      <c r="AE170" s="16">
        <f>(AF169*$C$15+AF171*(1-$C$15))*EXP(-$C$9*$C$13)</f>
        <v>18987.698392532209</v>
      </c>
      <c r="AF170" s="15">
        <f>AE171/$C$14</f>
        <v>18173.428327326103</v>
      </c>
      <c r="AG170" s="16">
        <f>(AH169*$C$15+AH171*(1-$C$15))*EXP(-$C$9*$C$13)</f>
        <v>18997.783797306936</v>
      </c>
      <c r="AH170" s="15">
        <f>AG171/$C$14</f>
        <v>18173.428327326103</v>
      </c>
      <c r="AI170" s="16">
        <f>(AJ169*$C$15+AJ171*(1-$C$15))*EXP(-$C$9*$C$13)</f>
        <v>19007.894239988407</v>
      </c>
      <c r="AJ170" s="15">
        <f>AI171/$C$14</f>
        <v>18173.428327326103</v>
      </c>
      <c r="AK170" s="16">
        <f>(AL169*$C$15+AL171*(1-$C$15))*EXP(-$C$9*$C$13)</f>
        <v>19018.018471701518</v>
      </c>
      <c r="AL170" s="15">
        <f>AK171/$C$14</f>
        <v>18173.428327326103</v>
      </c>
      <c r="AM170" s="16">
        <f>(AN169*$C$15+AN171*(1-$C$15))*EXP(-$C$9*$C$13)</f>
        <v>19028.150218302206</v>
      </c>
      <c r="AN170" s="15">
        <f>AM171/$C$14</f>
        <v>18173.428327326103</v>
      </c>
      <c r="AO170" s="16">
        <f>(AP169*$C$15+AP171*(1-$C$15))*EXP(-$C$9*$C$13)</f>
        <v>19038.287362536161</v>
      </c>
      <c r="AP170" s="15">
        <f>AO171/$C$14</f>
        <v>18173.428327326103</v>
      </c>
      <c r="AQ170" s="16">
        <f>(AR169*$C$15+AR171*(1-$C$15))*EXP(-$C$9*$C$13)</f>
        <v>19048.429907278936</v>
      </c>
      <c r="AR170" s="15">
        <f>AQ171/$C$14</f>
        <v>18173.428327326103</v>
      </c>
      <c r="AS170" s="16">
        <f>(AT169*$C$15+AT171*(1-$C$15))*EXP(-$C$9*$C$13)</f>
        <v>19058.577855407635</v>
      </c>
      <c r="AT170" s="15">
        <f>AS171/$C$14</f>
        <v>18173.428327326103</v>
      </c>
      <c r="AU170" s="16">
        <f>(AV169*$C$15+AV171*(1-$C$15))*EXP(-$C$9*$C$13)</f>
        <v>19068.731209800877</v>
      </c>
      <c r="AV170" s="15">
        <f>AU171/$C$14</f>
        <v>18173.428327326103</v>
      </c>
      <c r="AW170" s="16">
        <f>(AX169*$C$15+AX171*(1-$C$15))*EXP(-$C$9*$C$13)</f>
        <v>19078.889973338817</v>
      </c>
      <c r="AX170" s="15">
        <f>AW171/$C$14</f>
        <v>18173.428327326103</v>
      </c>
      <c r="AY170" s="16">
        <f>(AZ169*$C$15+AZ171*(1-$C$15))*EXP(-$C$9*$C$13)</f>
        <v>19089.054148903157</v>
      </c>
      <c r="AZ170" s="15">
        <f>AY171/$C$14</f>
        <v>18173.428327326103</v>
      </c>
      <c r="BA170" s="16">
        <f>(BB169*$C$15+BB171*(1-$C$15))*EXP(-$C$9*$C$13)</f>
        <v>19099.223739377117</v>
      </c>
      <c r="BB170" s="15">
        <f>BA171/$C$14</f>
        <v>18173.428327326103</v>
      </c>
      <c r="BD170" s="23">
        <f t="shared" si="29"/>
        <v>24862.93333333344</v>
      </c>
      <c r="BE170" s="25">
        <v>12889.510588989619</v>
      </c>
      <c r="BF170" s="25">
        <v>12888.219292888572</v>
      </c>
      <c r="BG170" s="25">
        <v>12887.097149346957</v>
      </c>
      <c r="BH170" s="25">
        <v>12886.150538312411</v>
      </c>
      <c r="BI170" s="25">
        <v>12885.386042071616</v>
      </c>
      <c r="BJ170" s="25">
        <v>12884.810445495767</v>
      </c>
      <c r="BK170" s="25">
        <v>12884.43073498679</v>
      </c>
      <c r="BL170" s="25">
        <v>12884.25409586597</v>
      </c>
      <c r="BM170" s="25">
        <v>12884.287907905295</v>
      </c>
      <c r="BN170" s="25">
        <v>12884.53973865538</v>
      </c>
      <c r="BO170" s="25">
        <v>12885.017334170665</v>
      </c>
      <c r="BP170" s="25">
        <v>12885.728606672921</v>
      </c>
      <c r="BQ170" s="25">
        <v>12886.681618626797</v>
      </c>
      <c r="BR170" s="25">
        <v>12887.884562626543</v>
      </c>
      <c r="BS170" s="25">
        <v>12889.345736410269</v>
      </c>
      <c r="BT170" s="25">
        <v>12891.073512228069</v>
      </c>
      <c r="BU170" s="25">
        <v>12893.076299693201</v>
      </c>
      <c r="BV170" s="25">
        <v>12895.362501143367</v>
      </c>
      <c r="BW170" s="25">
        <v>12897.940458434052</v>
      </c>
      <c r="BX170" s="25">
        <v>12900.81838998244</v>
      </c>
      <c r="BY170" s="25">
        <v>12904.00431678456</v>
      </c>
      <c r="BZ170" s="25">
        <v>12907.505976049404</v>
      </c>
      <c r="CA170" s="25">
        <v>12911.33072104436</v>
      </c>
      <c r="CB170" s="25">
        <v>12915.485405744195</v>
      </c>
      <c r="CC170" s="25">
        <v>12919.976252945247</v>
      </c>
      <c r="CD170" s="25">
        <v>12924.808704678719</v>
      </c>
      <c r="CE170" s="25">
        <v>12929.987254073907</v>
      </c>
      <c r="CF170" s="25">
        <v>12935.515258335934</v>
      </c>
      <c r="CG170" s="25">
        <v>12941.394733277728</v>
      </c>
      <c r="CH170" s="25">
        <v>12947.626130960063</v>
      </c>
      <c r="CI170" s="25">
        <v>12954.208103533263</v>
      </c>
      <c r="CJ170" s="25">
        <v>12961.137258432638</v>
      </c>
      <c r="CK170" s="25">
        <v>12968.407912741273</v>
      </c>
      <c r="CL170" s="25">
        <v>12976.011857857555</v>
      </c>
      <c r="CM170" s="25">
        <v>12983.9381495875</v>
      </c>
      <c r="CN170" s="25">
        <v>12992.172943311383</v>
      </c>
      <c r="CO170" s="25">
        <v>13000.699398655761</v>
      </c>
      <c r="CP170" s="25">
        <v>13009.497682571357</v>
      </c>
      <c r="CQ170" s="25">
        <v>13018.545102935255</v>
      </c>
      <c r="CR170" s="25">
        <v>13027.816405358008</v>
      </c>
      <c r="CS170" s="25">
        <v>13037.284261879688</v>
      </c>
      <c r="CT170" s="25">
        <v>13046.919969389586</v>
      </c>
      <c r="CU170" s="25">
        <v>13056.694355595087</v>
      </c>
      <c r="CV170" s="25">
        <v>13066.578859673888</v>
      </c>
      <c r="CW170" s="25">
        <v>13076.546713980202</v>
      </c>
      <c r="CX170" s="25">
        <v>13086.574106951801</v>
      </c>
      <c r="CY170" s="25">
        <v>13096.641166239453</v>
      </c>
      <c r="CZ170" s="25">
        <v>13106.732582429</v>
      </c>
      <c r="DA170" s="25">
        <v>13116.837719385947</v>
      </c>
      <c r="DB170" s="25">
        <v>13126.950145228249</v>
      </c>
      <c r="DC170" s="44">
        <f t="shared" si="32"/>
        <v>13137.066666666666</v>
      </c>
      <c r="DD170" s="5">
        <f t="shared" si="31"/>
        <v>22</v>
      </c>
      <c r="DE170" s="30" cm="1">
        <f t="array" ref="DE170">1/2*(rf-q)*DD170*dt-1/2*(sigma^2)*(DD170^2)*dt</f>
        <v>-0.36464846301369858</v>
      </c>
      <c r="DF170" s="25">
        <f t="shared" si="36"/>
        <v>1.7354218575342464</v>
      </c>
      <c r="DG170" s="6">
        <f t="shared" si="37"/>
        <v>-0.37050709315068486</v>
      </c>
      <c r="DH170" s="5">
        <f t="shared" si="35"/>
        <v>-247.55607766895082</v>
      </c>
      <c r="DI170" s="6">
        <v>12890.96485871955</v>
      </c>
    </row>
    <row r="171" spans="10:113" x14ac:dyDescent="0.25">
      <c r="T171" s="16">
        <f>(U170*$C$15+U172*(1-$C$15))*EXP(-$C$9*$C$13)</f>
        <v>19648.554961482321</v>
      </c>
      <c r="U171" s="15">
        <f>T170*$C$14</f>
        <v>17478.774633967274</v>
      </c>
      <c r="V171" s="16">
        <f>(W170*$C$15+W172*(1-$C$15))*EXP(-$C$9*$C$13)</f>
        <v>19658.761086182316</v>
      </c>
      <c r="W171" s="15">
        <f>V172/$C$14</f>
        <v>17478.774633967274</v>
      </c>
      <c r="X171" s="16">
        <f>(Y170*$C$15+Y172*(1-$C$15))*EXP(-$C$9*$C$13)</f>
        <v>19669.053245389721</v>
      </c>
      <c r="Y171" s="15">
        <f>X172/$C$14</f>
        <v>17478.774633967274</v>
      </c>
      <c r="Z171" s="16">
        <f>(AA170*$C$15+AA172*(1-$C$15))*EXP(-$C$9*$C$13)</f>
        <v>19679.414637857408</v>
      </c>
      <c r="AA171" s="15">
        <f>Z172/$C$14</f>
        <v>17478.774633967274</v>
      </c>
      <c r="AB171" s="16">
        <f>(AC170*$C$15+AC172*(1-$C$15))*EXP(-$C$9*$C$13)</f>
        <v>19689.829165782088</v>
      </c>
      <c r="AC171" s="15">
        <f>AB172/$C$14</f>
        <v>17478.774633967274</v>
      </c>
      <c r="AD171" s="16">
        <f>(AE170*$C$15+AE172*(1-$C$15))*EXP(-$C$9*$C$13)</f>
        <v>19700.282167077756</v>
      </c>
      <c r="AE171" s="15">
        <f>AD172/$C$14</f>
        <v>17478.774633967274</v>
      </c>
      <c r="AF171" s="16">
        <f>(AG170*$C$15+AG172*(1-$C$15))*EXP(-$C$9*$C$13)</f>
        <v>19710.761171463153</v>
      </c>
      <c r="AG171" s="15">
        <f>AF172/$C$14</f>
        <v>17478.774633967274</v>
      </c>
      <c r="AH171" s="16">
        <f>(AI170*$C$15+AI172*(1-$C$15))*EXP(-$C$9*$C$13)</f>
        <v>19721.256555206852</v>
      </c>
      <c r="AI171" s="15">
        <f>AH172/$C$14</f>
        <v>17478.774633967274</v>
      </c>
      <c r="AJ171" s="16">
        <f>(AK170*$C$15+AK172*(1-$C$15))*EXP(-$C$9*$C$13)</f>
        <v>19731.761908410932</v>
      </c>
      <c r="AK171" s="15">
        <f>AJ172/$C$14</f>
        <v>17478.774633967274</v>
      </c>
      <c r="AL171" s="16">
        <f>(AM170*$C$15+AM172*(1-$C$15))*EXP(-$C$9*$C$13)</f>
        <v>19742.273897971703</v>
      </c>
      <c r="AM171" s="15">
        <f>AL172/$C$14</f>
        <v>17478.774633967274</v>
      </c>
      <c r="AN171" s="16">
        <f>(AO170*$C$15+AO172*(1-$C$15))*EXP(-$C$9*$C$13)</f>
        <v>19752.791487738123</v>
      </c>
      <c r="AO171" s="15">
        <f>AN172/$C$14</f>
        <v>17478.774633967274</v>
      </c>
      <c r="AP171" s="16">
        <f>(AQ170*$C$15+AQ172*(1-$C$15))*EXP(-$C$9*$C$13)</f>
        <v>19763.314680693671</v>
      </c>
      <c r="AQ171" s="15">
        <f>AP172/$C$14</f>
        <v>17478.774633967274</v>
      </c>
      <c r="AR171" s="16">
        <f>(AS170*$C$15+AS172*(1-$C$15))*EXP(-$C$9*$C$13)</f>
        <v>19773.843479823419</v>
      </c>
      <c r="AS171" s="15">
        <f>AR172/$C$14</f>
        <v>17478.774633967274</v>
      </c>
      <c r="AT171" s="16">
        <f>(AU170*$C$15+AU172*(1-$C$15))*EXP(-$C$9*$C$13)</f>
        <v>19784.377888114024</v>
      </c>
      <c r="AU171" s="15">
        <f>AT172/$C$14</f>
        <v>17478.774633967274</v>
      </c>
      <c r="AV171" s="16">
        <f>(AW170*$C$15+AW172*(1-$C$15))*EXP(-$C$9*$C$13)</f>
        <v>19794.917908553733</v>
      </c>
      <c r="AW171" s="15">
        <f>AV172/$C$14</f>
        <v>17478.774633967274</v>
      </c>
      <c r="AX171" s="16">
        <f>(AY170*$C$15+AY172*(1-$C$15))*EXP(-$C$9*$C$13)</f>
        <v>19805.463544132395</v>
      </c>
      <c r="AY171" s="15">
        <f>AX172/$C$14</f>
        <v>17478.774633967274</v>
      </c>
      <c r="AZ171" s="16">
        <f>(BA170*$C$15+BA172*(1-$C$15))*EXP(-$C$9*$C$13)</f>
        <v>19816.014797841439</v>
      </c>
      <c r="BA171" s="15">
        <f>AZ172/$C$14</f>
        <v>17478.774633967274</v>
      </c>
      <c r="BB171" s="16">
        <f>MAX(0,$C$8-BB170)</f>
        <v>19826.571672673897</v>
      </c>
      <c r="BD171" s="23">
        <f t="shared" ref="BD171:BD192" si="38">BD69</f>
        <v>23732.800000000105</v>
      </c>
      <c r="BE171" s="25">
        <v>13934.384651909097</v>
      </c>
      <c r="BF171" s="25">
        <v>13935.9545007537</v>
      </c>
      <c r="BG171" s="25">
        <v>13937.695685310064</v>
      </c>
      <c r="BH171" s="25">
        <v>13939.613027158955</v>
      </c>
      <c r="BI171" s="25">
        <v>13941.711415111567</v>
      </c>
      <c r="BJ171" s="25">
        <v>13943.995795888628</v>
      </c>
      <c r="BK171" s="25">
        <v>13946.471163034104</v>
      </c>
      <c r="BL171" s="25">
        <v>13949.142543835347</v>
      </c>
      <c r="BM171" s="25">
        <v>13952.014983997653</v>
      </c>
      <c r="BN171" s="25">
        <v>13955.09352979641</v>
      </c>
      <c r="BO171" s="25">
        <v>13958.383207404293</v>
      </c>
      <c r="BP171" s="25">
        <v>13961.888999064946</v>
      </c>
      <c r="BQ171" s="25">
        <v>13965.615815759273</v>
      </c>
      <c r="BR171" s="25">
        <v>13969.568465987015</v>
      </c>
      <c r="BS171" s="25">
        <v>13973.751620265777</v>
      </c>
      <c r="BT171" s="25">
        <v>13978.169770935159</v>
      </c>
      <c r="BU171" s="25">
        <v>13982.827186847226</v>
      </c>
      <c r="BV171" s="25">
        <v>13987.72786252986</v>
      </c>
      <c r="BW171" s="25">
        <v>13992.875461432339</v>
      </c>
      <c r="BX171" s="25">
        <v>13998.273252907091</v>
      </c>
      <c r="BY171" s="25">
        <v>14003.924042657321</v>
      </c>
      <c r="BZ171" s="25">
        <v>14009.830096494901</v>
      </c>
      <c r="CA171" s="25">
        <v>14015.993057418666</v>
      </c>
      <c r="CB171" s="25">
        <v>14022.413856252973</v>
      </c>
      <c r="CC171" s="25">
        <v>14029.09261639513</v>
      </c>
      <c r="CD171" s="25">
        <v>14036.02855362576</v>
      </c>
      <c r="CE171" s="25">
        <v>14043.219872455227</v>
      </c>
      <c r="CF171" s="25">
        <v>14050.663661129887</v>
      </c>
      <c r="CG171" s="25">
        <v>14058.355788218374</v>
      </c>
      <c r="CH171" s="25">
        <v>14066.290804646982</v>
      </c>
      <c r="CI171" s="25">
        <v>14074.461856150019</v>
      </c>
      <c r="CJ171" s="25">
        <v>14082.860612318784</v>
      </c>
      <c r="CK171" s="25">
        <v>14091.477219714267</v>
      </c>
      <c r="CL171" s="25">
        <v>14100.300287750626</v>
      </c>
      <c r="CM171" s="25">
        <v>14109.316917095841</v>
      </c>
      <c r="CN171" s="25">
        <v>14118.51278093283</v>
      </c>
      <c r="CO171" s="25">
        <v>14127.872269252493</v>
      </c>
      <c r="CP171" s="25">
        <v>14137.378704995384</v>
      </c>
      <c r="CQ171" s="25">
        <v>14147.014637844633</v>
      </c>
      <c r="CR171" s="25">
        <v>14156.762216320163</v>
      </c>
      <c r="CS171" s="25">
        <v>14166.603631174419</v>
      </c>
      <c r="CT171" s="25">
        <v>14176.521612895145</v>
      </c>
      <c r="CU171" s="25">
        <v>14186.499953918314</v>
      </c>
      <c r="CV171" s="25">
        <v>14196.524013380616</v>
      </c>
      <c r="CW171" s="25">
        <v>14206.581151503549</v>
      </c>
      <c r="CX171" s="25">
        <v>14216.66103581457</v>
      </c>
      <c r="CY171" s="25">
        <v>14226.755766919005</v>
      </c>
      <c r="CZ171" s="25">
        <v>14236.859791391038</v>
      </c>
      <c r="DA171" s="25">
        <v>14246.969604578198</v>
      </c>
      <c r="DB171" s="25">
        <v>14257.08329183784</v>
      </c>
      <c r="DC171" s="44">
        <f t="shared" si="32"/>
        <v>14267.199999999997</v>
      </c>
      <c r="DD171" s="5">
        <f t="shared" si="31"/>
        <v>21</v>
      </c>
      <c r="DE171" s="30" cm="1">
        <f t="array" ref="DE171">1/2*(rf-q)*DD171*dt-1/2*(sigma^2)*(DD171^2)*dt</f>
        <v>-0.33212491027397256</v>
      </c>
      <c r="DF171" s="25">
        <f t="shared" si="36"/>
        <v>1.6701084506849313</v>
      </c>
      <c r="DG171" s="6">
        <f t="shared" si="37"/>
        <v>-0.3377172390410958</v>
      </c>
      <c r="DH171" s="5">
        <f t="shared" ref="DH171:DH192" si="39">DE171*DI172+DF171*DI171+DG171*DI170-DC171</f>
        <v>-332.81534808277138</v>
      </c>
      <c r="DI171" s="6">
        <v>13932.981392187481</v>
      </c>
    </row>
    <row r="172" spans="10:113" x14ac:dyDescent="0.25">
      <c r="U172" s="16">
        <f>(V171*$C$15+V173*(1-$C$15))*EXP(-$C$9*$C$13)</f>
        <v>20341.926100385561</v>
      </c>
      <c r="V172" s="15">
        <f>U171*$C$14</f>
        <v>16810.673099342937</v>
      </c>
      <c r="W172" s="16">
        <f>(X171*$C$15+X173*(1-$C$15))*EXP(-$C$9*$C$13)</f>
        <v>20352.653909844823</v>
      </c>
      <c r="X172" s="15">
        <f>W173/$C$14</f>
        <v>16810.673099342937</v>
      </c>
      <c r="Y172" s="16">
        <f>(Z171*$C$15+Z173*(1-$C$15))*EXP(-$C$9*$C$13)</f>
        <v>20363.427695389513</v>
      </c>
      <c r="Z172" s="15">
        <f>Y173/$C$14</f>
        <v>16810.673099342937</v>
      </c>
      <c r="AA172" s="16">
        <f>(AB171*$C$15+AB173*(1-$C$15))*EXP(-$C$9*$C$13)</f>
        <v>20374.236388616067</v>
      </c>
      <c r="AB172" s="15">
        <f>AA173/$C$14</f>
        <v>16810.673099342937</v>
      </c>
      <c r="AC172" s="16">
        <f>(AD171*$C$15+AD173*(1-$C$15))*EXP(-$C$9*$C$13)</f>
        <v>20385.070334388784</v>
      </c>
      <c r="AD172" s="15">
        <f>AC173/$C$14</f>
        <v>16810.673099342937</v>
      </c>
      <c r="AE172" s="16">
        <f>(AF171*$C$15+AF173*(1-$C$15))*EXP(-$C$9*$C$13)</f>
        <v>20395.921696479938</v>
      </c>
      <c r="AF172" s="15">
        <f>AE173/$C$14</f>
        <v>16810.673099342937</v>
      </c>
      <c r="AG172" s="16">
        <f>(AH171*$C$15+AH173*(1-$C$15))*EXP(-$C$9*$C$13)</f>
        <v>20406.784730895142</v>
      </c>
      <c r="AH172" s="15">
        <f>AG173/$C$14</f>
        <v>16810.673099342937</v>
      </c>
      <c r="AI172" s="16">
        <f>(AJ171*$C$15+AJ173*(1-$C$15))*EXP(-$C$9*$C$13)</f>
        <v>20417.655825639118</v>
      </c>
      <c r="AJ172" s="15">
        <f>AI173/$C$14</f>
        <v>16810.673099342937</v>
      </c>
      <c r="AK172" s="16">
        <f>(AL171*$C$15+AL173*(1-$C$15))*EXP(-$C$9*$C$13)</f>
        <v>20428.533221478923</v>
      </c>
      <c r="AL172" s="15">
        <f>AK173/$C$14</f>
        <v>16810.673099342937</v>
      </c>
      <c r="AM172" s="16">
        <f>(AN171*$C$15+AN173*(1-$C$15))*EXP(-$C$9*$C$13)</f>
        <v>20439.416412192597</v>
      </c>
      <c r="AN172" s="15">
        <f>AM173/$C$14</f>
        <v>16810.673099342937</v>
      </c>
      <c r="AO172" s="16">
        <f>(AP171*$C$15+AP173*(1-$C$15))*EXP(-$C$9*$C$13)</f>
        <v>20450.305400867324</v>
      </c>
      <c r="AP172" s="15">
        <f>AO173/$C$14</f>
        <v>16810.673099342937</v>
      </c>
      <c r="AQ172" s="16">
        <f>(AR171*$C$15+AR173*(1-$C$15))*EXP(-$C$9*$C$13)</f>
        <v>20461.20019059195</v>
      </c>
      <c r="AR172" s="15">
        <f>AQ173/$C$14</f>
        <v>16810.673099342937</v>
      </c>
      <c r="AS172" s="16">
        <f>(AT171*$C$15+AT173*(1-$C$15))*EXP(-$C$9*$C$13)</f>
        <v>20472.100784456943</v>
      </c>
      <c r="AT172" s="15">
        <f>AS173/$C$14</f>
        <v>16810.673099342937</v>
      </c>
      <c r="AU172" s="16">
        <f>(AV171*$C$15+AV173*(1-$C$15))*EXP(-$C$9*$C$13)</f>
        <v>20483.007185554434</v>
      </c>
      <c r="AV172" s="15">
        <f>AU173/$C$14</f>
        <v>16810.673099342937</v>
      </c>
      <c r="AW172" s="16">
        <f>(AX171*$C$15+AX173*(1-$C$15))*EXP(-$C$9*$C$13)</f>
        <v>20493.919396978185</v>
      </c>
      <c r="AX172" s="15">
        <f>AW173/$C$14</f>
        <v>16810.673099342937</v>
      </c>
      <c r="AY172" s="16">
        <f>(AZ171*$C$15+AZ173*(1-$C$15))*EXP(-$C$9*$C$13)</f>
        <v>20504.837421823617</v>
      </c>
      <c r="AZ172" s="15">
        <f>AY173/$C$14</f>
        <v>16810.673099342937</v>
      </c>
      <c r="BA172" s="16">
        <f>(BB171*$C$15+BB173*(1-$C$15))*EXP(-$C$9*$C$13)</f>
        <v>20515.761263187811</v>
      </c>
      <c r="BB172" s="15">
        <f>BA173/$C$14</f>
        <v>16810.673099342937</v>
      </c>
      <c r="BD172" s="23">
        <f t="shared" si="38"/>
        <v>22602.66666666677</v>
      </c>
      <c r="BE172" s="25">
        <v>15003.298393580055</v>
      </c>
      <c r="BF172" s="25">
        <v>15007.262944803408</v>
      </c>
      <c r="BG172" s="25">
        <v>15011.386671658029</v>
      </c>
      <c r="BH172" s="25">
        <v>15015.672612558783</v>
      </c>
      <c r="BI172" s="25">
        <v>15020.123763885818</v>
      </c>
      <c r="BJ172" s="25">
        <v>15024.743066244078</v>
      </c>
      <c r="BK172" s="25">
        <v>15029.533389169208</v>
      </c>
      <c r="BL172" s="25">
        <v>15034.497514153636</v>
      </c>
      <c r="BM172" s="25">
        <v>15039.638115864049</v>
      </c>
      <c r="BN172" s="25">
        <v>15044.957741421067</v>
      </c>
      <c r="BO172" s="25">
        <v>15050.458787614807</v>
      </c>
      <c r="BP172" s="25">
        <v>15056.143475936537</v>
      </c>
      <c r="BQ172" s="25">
        <v>15062.013825318521</v>
      </c>
      <c r="BR172" s="25">
        <v>15068.071622492547</v>
      </c>
      <c r="BS172" s="25">
        <v>15074.318389904151</v>
      </c>
      <c r="BT172" s="25">
        <v>15080.755351156613</v>
      </c>
      <c r="BU172" s="25">
        <v>15087.383394008106</v>
      </c>
      <c r="BV172" s="25">
        <v>15094.203031010475</v>
      </c>
      <c r="BW172" s="25">
        <v>15101.214357961264</v>
      </c>
      <c r="BX172" s="25">
        <v>15108.417010445661</v>
      </c>
      <c r="BY172" s="25">
        <v>15115.810118875557</v>
      </c>
      <c r="BZ172" s="25">
        <v>15123.392262592217</v>
      </c>
      <c r="CA172" s="25">
        <v>15131.16142379082</v>
      </c>
      <c r="CB172" s="25">
        <v>15139.114942251901</v>
      </c>
      <c r="CC172" s="25">
        <v>15147.249472127873</v>
      </c>
      <c r="CD172" s="25">
        <v>15155.560942331445</v>
      </c>
      <c r="CE172" s="25">
        <v>15164.044522402828</v>
      </c>
      <c r="CF172" s="25">
        <v>15172.694596084508</v>
      </c>
      <c r="CG172" s="25">
        <v>15181.504745190294</v>
      </c>
      <c r="CH172" s="25">
        <v>15190.467746693561</v>
      </c>
      <c r="CI172" s="25">
        <v>15199.57558624125</v>
      </c>
      <c r="CJ172" s="25">
        <v>15208.819491473083</v>
      </c>
      <c r="CK172" s="25">
        <v>15218.189988523005</v>
      </c>
      <c r="CL172" s="25">
        <v>15227.67698481663</v>
      </c>
      <c r="CM172" s="25">
        <v>15237.269880657055</v>
      </c>
      <c r="CN172" s="25">
        <v>15246.957711005827</v>
      </c>
      <c r="CO172" s="25">
        <v>15256.729317217067</v>
      </c>
      <c r="CP172" s="25">
        <v>15266.573546202688</v>
      </c>
      <c r="CQ172" s="25">
        <v>15276.479471590152</v>
      </c>
      <c r="CR172" s="25">
        <v>15286.436627987085</v>
      </c>
      <c r="CS172" s="25">
        <v>15296.435245757633</v>
      </c>
      <c r="CT172" s="25">
        <v>15306.466470224204</v>
      </c>
      <c r="CU172" s="25">
        <v>15316.522546653126</v>
      </c>
      <c r="CV172" s="25">
        <v>15326.596951688502</v>
      </c>
      <c r="CW172" s="25">
        <v>15336.684454066835</v>
      </c>
      <c r="CX172" s="25">
        <v>15346.781093290336</v>
      </c>
      <c r="CY172" s="25">
        <v>15356.884074672291</v>
      </c>
      <c r="CZ172" s="25">
        <v>15366.991591910886</v>
      </c>
      <c r="DA172" s="25">
        <v>15377.102601720626</v>
      </c>
      <c r="DB172" s="25">
        <v>15387.2165852201</v>
      </c>
      <c r="DC172" s="44">
        <f t="shared" si="32"/>
        <v>15397.333333333332</v>
      </c>
      <c r="DD172" s="5">
        <f t="shared" ref="DD172:DD192" si="40">DD171-1</f>
        <v>20</v>
      </c>
      <c r="DE172" s="30" cm="1">
        <f t="array" ref="DE172">1/2*(rf-q)*DD172*dt-1/2*(sigma^2)*(DD172^2)*dt</f>
        <v>-0.30112027397260271</v>
      </c>
      <c r="DF172" s="25">
        <f t="shared" si="36"/>
        <v>1.6078328767123287</v>
      </c>
      <c r="DG172" s="6">
        <f t="shared" si="37"/>
        <v>-0.30644630136986295</v>
      </c>
      <c r="DH172" s="5">
        <f t="shared" si="39"/>
        <v>-394.03493974514095</v>
      </c>
      <c r="DI172" s="6">
        <v>14999.489949847424</v>
      </c>
    </row>
    <row r="173" spans="10:113" x14ac:dyDescent="0.25">
      <c r="V173" s="16">
        <f>(W172*$C$15+W174*(1-$C$15))*EXP(-$C$9*$C$13)</f>
        <v>21009.606614775614</v>
      </c>
      <c r="W173" s="15">
        <f>V172*$C$14</f>
        <v>16168.108804594671</v>
      </c>
      <c r="X173" s="16">
        <f>(Y172*$C$15+Y174*(1-$C$15))*EXP(-$C$9*$C$13)</f>
        <v>21020.759027578337</v>
      </c>
      <c r="Y173" s="15">
        <f>X174/$C$14</f>
        <v>16168.108804594671</v>
      </c>
      <c r="Z173" s="16">
        <f>(AA172*$C$15+AA174*(1-$C$15))*EXP(-$C$9*$C$13)</f>
        <v>21031.935072286582</v>
      </c>
      <c r="AA173" s="15">
        <f>Z174/$C$14</f>
        <v>16168.108804594671</v>
      </c>
      <c r="AB173" s="16">
        <f>(AC172*$C$15+AC174*(1-$C$15))*EXP(-$C$9*$C$13)</f>
        <v>21043.128511871604</v>
      </c>
      <c r="AC173" s="15">
        <f>AB174/$C$14</f>
        <v>16168.108804594671</v>
      </c>
      <c r="AD173" s="16">
        <f>(AE172*$C$15+AE174*(1-$C$15))*EXP(-$C$9*$C$13)</f>
        <v>21054.334501719659</v>
      </c>
      <c r="AE173" s="15">
        <f>AD174/$C$14</f>
        <v>16168.108804594671</v>
      </c>
      <c r="AF173" s="16">
        <f>(AG172*$C$15+AG174*(1-$C$15))*EXP(-$C$9*$C$13)</f>
        <v>21065.549658432006</v>
      </c>
      <c r="AG173" s="15">
        <f>AF174/$C$14</f>
        <v>16168.108804594671</v>
      </c>
      <c r="AH173" s="16">
        <f>(AI172*$C$15+AI174*(1-$C$15))*EXP(-$C$9*$C$13)</f>
        <v>21076.771966452605</v>
      </c>
      <c r="AI173" s="15">
        <f>AH174/$C$14</f>
        <v>16168.108804594671</v>
      </c>
      <c r="AJ173" s="16">
        <f>(AK172*$C$15+AK174*(1-$C$15))*EXP(-$C$9*$C$13)</f>
        <v>21088.000502855717</v>
      </c>
      <c r="AK173" s="15">
        <f>AJ174/$C$14</f>
        <v>16168.108804594671</v>
      </c>
      <c r="AL173" s="16">
        <f>(AM172*$C$15+AM174*(1-$C$15))*EXP(-$C$9*$C$13)</f>
        <v>21099.235021200933</v>
      </c>
      <c r="AM173" s="15">
        <f>AL174/$C$14</f>
        <v>16168.108804594671</v>
      </c>
      <c r="AN173" s="16">
        <f>(AO172*$C$15+AO174*(1-$C$15))*EXP(-$C$9*$C$13)</f>
        <v>21110.475524675108</v>
      </c>
      <c r="AO173" s="15">
        <f>AN174/$C$14</f>
        <v>16168.108804594671</v>
      </c>
      <c r="AP173" s="16">
        <f>(AQ172*$C$15+AQ174*(1-$C$15))*EXP(-$C$9*$C$13)</f>
        <v>21121.722016466785</v>
      </c>
      <c r="AQ173" s="15">
        <f>AP174/$C$14</f>
        <v>16168.108804594671</v>
      </c>
      <c r="AR173" s="16">
        <f>(AS172*$C$15+AS174*(1-$C$15))*EXP(-$C$9*$C$13)</f>
        <v>21132.974499766209</v>
      </c>
      <c r="AS173" s="15">
        <f>AR174/$C$14</f>
        <v>16168.108804594671</v>
      </c>
      <c r="AT173" s="16">
        <f>(AU172*$C$15+AU174*(1-$C$15))*EXP(-$C$9*$C$13)</f>
        <v>21144.232977765321</v>
      </c>
      <c r="AU173" s="15">
        <f>AT174/$C$14</f>
        <v>16168.108804594671</v>
      </c>
      <c r="AV173" s="16">
        <f>(AW172*$C$15+AW174*(1-$C$15))*EXP(-$C$9*$C$13)</f>
        <v>21155.497453657768</v>
      </c>
      <c r="AW173" s="15">
        <f>AV174/$C$14</f>
        <v>16168.108804594671</v>
      </c>
      <c r="AX173" s="16">
        <f>(AY172*$C$15+AY174*(1-$C$15))*EXP(-$C$9*$C$13)</f>
        <v>21166.767930638889</v>
      </c>
      <c r="AY173" s="15">
        <f>AX174/$C$14</f>
        <v>16168.108804594671</v>
      </c>
      <c r="AZ173" s="16">
        <f>(BA172*$C$15+BA174*(1-$C$15))*EXP(-$C$9*$C$13)</f>
        <v>21178.044411905736</v>
      </c>
      <c r="BA173" s="15">
        <f>AZ174/$C$14</f>
        <v>16168.108804594671</v>
      </c>
      <c r="BB173" s="16">
        <f>MAX(0,$C$8-BB172)</f>
        <v>21189.326900657063</v>
      </c>
      <c r="BD173" s="23">
        <f t="shared" si="38"/>
        <v>21472.533333333435</v>
      </c>
      <c r="BE173" s="25">
        <v>16091.220857185002</v>
      </c>
      <c r="BF173" s="25">
        <v>16097.097361440981</v>
      </c>
      <c r="BG173" s="25">
        <v>16103.110716568155</v>
      </c>
      <c r="BH173" s="25">
        <v>16109.262288557473</v>
      </c>
      <c r="BI173" s="25">
        <v>16115.553335761508</v>
      </c>
      <c r="BJ173" s="25">
        <v>16121.984995803385</v>
      </c>
      <c r="BK173" s="25">
        <v>16128.558271565529</v>
      </c>
      <c r="BL173" s="25">
        <v>16135.274016244186</v>
      </c>
      <c r="BM173" s="25">
        <v>16142.132917467165</v>
      </c>
      <c r="BN173" s="25">
        <v>16149.135480486855</v>
      </c>
      <c r="BO173" s="25">
        <v>16156.282010479186</v>
      </c>
      <c r="BP173" s="25">
        <v>16163.572594001889</v>
      </c>
      <c r="BQ173" s="25">
        <v>16171.007079693363</v>
      </c>
      <c r="BR173" s="25">
        <v>16178.585058327077</v>
      </c>
      <c r="BS173" s="25">
        <v>16186.305842376705</v>
      </c>
      <c r="BT173" s="25">
        <v>16194.168445294703</v>
      </c>
      <c r="BU173" s="25">
        <v>16202.171560762568</v>
      </c>
      <c r="BV173" s="25">
        <v>16210.31354223517</v>
      </c>
      <c r="BW173" s="25">
        <v>16218.592383174624</v>
      </c>
      <c r="BX173" s="25">
        <v>16227.005698451019</v>
      </c>
      <c r="BY173" s="25">
        <v>16235.550707477809</v>
      </c>
      <c r="BZ173" s="25">
        <v>16244.224219746908</v>
      </c>
      <c r="CA173" s="25">
        <v>16253.022623530793</v>
      </c>
      <c r="CB173" s="25">
        <v>16261.941878621948</v>
      </c>
      <c r="CC173" s="25">
        <v>16270.977514078892</v>
      </c>
      <c r="CD173" s="25">
        <v>16280.124632034556</v>
      </c>
      <c r="CE173" s="25">
        <v>16289.377918687387</v>
      </c>
      <c r="CF173" s="25">
        <v>16298.731663624318</v>
      </c>
      <c r="CG173" s="25">
        <v>16308.179788601992</v>
      </c>
      <c r="CH173" s="25">
        <v>16317.715886817989</v>
      </c>
      <c r="CI173" s="25">
        <v>16327.333273515796</v>
      </c>
      <c r="CJ173" s="25">
        <v>16337.025048461737</v>
      </c>
      <c r="CK173" s="25">
        <v>16346.784170386369</v>
      </c>
      <c r="CL173" s="25">
        <v>16356.603542878993</v>
      </c>
      <c r="CM173" s="25">
        <v>16366.476110452903</v>
      </c>
      <c r="CN173" s="25">
        <v>16376.394962569289</v>
      </c>
      <c r="CO173" s="25">
        <v>16386.353442352993</v>
      </c>
      <c r="CP173" s="25">
        <v>16396.34525562144</v>
      </c>
      <c r="CQ173" s="25">
        <v>16406.364574791089</v>
      </c>
      <c r="CR173" s="25">
        <v>16416.406131382304</v>
      </c>
      <c r="CS173" s="25">
        <v>16426.465290416341</v>
      </c>
      <c r="CT173" s="25">
        <v>16436.538100216625</v>
      </c>
      <c r="CU173" s="25">
        <v>16446.621312208161</v>
      </c>
      <c r="CV173" s="25">
        <v>16456.712367399574</v>
      </c>
      <c r="CW173" s="25">
        <v>16466.809349326584</v>
      </c>
      <c r="CX173" s="25">
        <v>16476.910907087567</v>
      </c>
      <c r="CY173" s="25">
        <v>16487.016156161961</v>
      </c>
      <c r="CZ173" s="25">
        <v>16497.124568125888</v>
      </c>
      <c r="DA173" s="25">
        <v>16507.235862162841</v>
      </c>
      <c r="DB173" s="25">
        <v>16517.349910538389</v>
      </c>
      <c r="DC173" s="44">
        <f t="shared" si="32"/>
        <v>16527.466666666664</v>
      </c>
      <c r="DD173" s="5">
        <f t="shared" si="40"/>
        <v>19</v>
      </c>
      <c r="DE173" s="30" cm="1">
        <f t="array" ref="DE173">1/2*(rf-q)*DD173*dt-1/2*(sigma^2)*(DD173^2)*dt</f>
        <v>-0.27163455410958898</v>
      </c>
      <c r="DF173" s="25">
        <f t="shared" si="36"/>
        <v>1.548595135616438</v>
      </c>
      <c r="DG173" s="6">
        <f t="shared" si="37"/>
        <v>-0.27669428013698627</v>
      </c>
      <c r="DH173" s="5">
        <f t="shared" si="39"/>
        <v>-436.24580947160393</v>
      </c>
      <c r="DI173" s="6">
        <v>16085.479742364931</v>
      </c>
    </row>
    <row r="174" spans="10:113" x14ac:dyDescent="0.25">
      <c r="W174" s="16">
        <f>(X173*$C$15+X175*(1-$C$15))*EXP(-$C$9*$C$13)</f>
        <v>21652.425607088288</v>
      </c>
      <c r="X174" s="15">
        <f>W173*$C$14</f>
        <v>15550.105624707503</v>
      </c>
      <c r="Y174" s="16">
        <f>(Z173*$C$15+Z175*(1-$C$15))*EXP(-$C$9*$C$13)</f>
        <v>21663.948001716657</v>
      </c>
      <c r="Z174" s="15">
        <f>Y175/$C$14</f>
        <v>15550.105624707503</v>
      </c>
      <c r="AA174" s="16">
        <f>(AB173*$C$15+AB175*(1-$C$15))*EXP(-$C$9*$C$13)</f>
        <v>21675.483195822384</v>
      </c>
      <c r="AB174" s="15">
        <f>AA175/$C$14</f>
        <v>15550.105624707503</v>
      </c>
      <c r="AC174" s="16">
        <f>(AD173*$C$15+AD175*(1-$C$15))*EXP(-$C$9*$C$13)</f>
        <v>21687.028236572554</v>
      </c>
      <c r="AD174" s="15">
        <f>AC175/$C$14</f>
        <v>15550.105624707503</v>
      </c>
      <c r="AE174" s="16">
        <f>(AF173*$C$15+AF175*(1-$C$15))*EXP(-$C$9*$C$13)</f>
        <v>21698.581154085885</v>
      </c>
      <c r="AF174" s="15">
        <f>AE175/$C$14</f>
        <v>15550.105624707503</v>
      </c>
      <c r="AG174" s="16">
        <f>(AH173*$C$15+AH175*(1-$C$15))*EXP(-$C$9*$C$13)</f>
        <v>21710.140833561039</v>
      </c>
      <c r="AH174" s="15">
        <f>AG175/$C$14</f>
        <v>15550.105624707503</v>
      </c>
      <c r="AI174" s="16">
        <f>(AJ173*$C$15+AJ175*(1-$C$15))*EXP(-$C$9*$C$13)</f>
        <v>21721.706793806487</v>
      </c>
      <c r="AJ174" s="15">
        <f>AI175/$C$14</f>
        <v>15550.105624707503</v>
      </c>
      <c r="AK174" s="16">
        <f>(AL173*$C$15+AL175*(1-$C$15))*EXP(-$C$9*$C$13)</f>
        <v>21733.278915754767</v>
      </c>
      <c r="AL174" s="15">
        <f>AK175/$C$14</f>
        <v>15550.105624707503</v>
      </c>
      <c r="AM174" s="16">
        <f>(AN173*$C$15+AN175*(1-$C$15))*EXP(-$C$9*$C$13)</f>
        <v>21744.857202688501</v>
      </c>
      <c r="AN174" s="15">
        <f>AM175/$C$14</f>
        <v>15550.105624707503</v>
      </c>
      <c r="AO174" s="16">
        <f>(AP173*$C$15+AP175*(1-$C$15))*EXP(-$C$9*$C$13)</f>
        <v>21756.44165789205</v>
      </c>
      <c r="AP174" s="15">
        <f>AO175/$C$14</f>
        <v>15550.105624707503</v>
      </c>
      <c r="AQ174" s="16">
        <f>(AR173*$C$15+AR175*(1-$C$15))*EXP(-$C$9*$C$13)</f>
        <v>21768.03228465153</v>
      </c>
      <c r="AR174" s="15">
        <f>AQ175/$C$14</f>
        <v>15550.105624707503</v>
      </c>
      <c r="AS174" s="16">
        <f>(AT173*$C$15+AT175*(1-$C$15))*EXP(-$C$9*$C$13)</f>
        <v>21779.629086254794</v>
      </c>
      <c r="AT174" s="15">
        <f>AS175/$C$14</f>
        <v>15550.105624707503</v>
      </c>
      <c r="AU174" s="16">
        <f>(AV173*$C$15+AV175*(1-$C$15))*EXP(-$C$9*$C$13)</f>
        <v>21791.232065991466</v>
      </c>
      <c r="AV174" s="15">
        <f>AU175/$C$14</f>
        <v>15550.105624707503</v>
      </c>
      <c r="AW174" s="16">
        <f>(AX173*$C$15+AX175*(1-$C$15))*EXP(-$C$9*$C$13)</f>
        <v>21802.841227152912</v>
      </c>
      <c r="AX174" s="15">
        <f>AW175/$C$14</f>
        <v>15550.105624707503</v>
      </c>
      <c r="AY174" s="16">
        <f>(AZ173*$C$15+AZ175*(1-$C$15))*EXP(-$C$9*$C$13)</f>
        <v>21814.456573032254</v>
      </c>
      <c r="AZ174" s="15">
        <f>AY175/$C$14</f>
        <v>15550.105624707503</v>
      </c>
      <c r="BA174" s="16">
        <f>(BB173*$C$15+BB175*(1-$C$15))*EXP(-$C$9*$C$13)</f>
        <v>21826.078106924357</v>
      </c>
      <c r="BB174" s="15">
        <f>BA175/$C$14</f>
        <v>15550.105624707503</v>
      </c>
      <c r="BD174" s="23">
        <f t="shared" si="38"/>
        <v>20342.4000000001</v>
      </c>
      <c r="BE174" s="25">
        <v>17193.549438997976</v>
      </c>
      <c r="BF174" s="25">
        <v>17200.875466195677</v>
      </c>
      <c r="BG174" s="25">
        <v>17208.310709044141</v>
      </c>
      <c r="BH174" s="25">
        <v>17215.855227559026</v>
      </c>
      <c r="BI174" s="25">
        <v>17223.508955380301</v>
      </c>
      <c r="BJ174" s="25">
        <v>17231.271690717138</v>
      </c>
      <c r="BK174" s="25">
        <v>17239.143087069016</v>
      </c>
      <c r="BL174" s="25">
        <v>17247.12264378064</v>
      </c>
      <c r="BM174" s="25">
        <v>17255.209696502458</v>
      </c>
      <c r="BN174" s="25">
        <v>17263.403407644997</v>
      </c>
      <c r="BO174" s="25">
        <v>17271.702756933468</v>
      </c>
      <c r="BP174" s="25">
        <v>17280.106532189839</v>
      </c>
      <c r="BQ174" s="25">
        <v>17288.613320492528</v>
      </c>
      <c r="BR174" s="25">
        <v>17297.221499888998</v>
      </c>
      <c r="BS174" s="25">
        <v>17305.929231863713</v>
      </c>
      <c r="BT174" s="25">
        <v>17314.734454792921</v>
      </c>
      <c r="BU174" s="25">
        <v>17323.63487864775</v>
      </c>
      <c r="BV174" s="25">
        <v>17332.627981237871</v>
      </c>
      <c r="BW174" s="25">
        <v>17341.711006317691</v>
      </c>
      <c r="BX174" s="25">
        <v>17350.880963904849</v>
      </c>
      <c r="BY174" s="25">
        <v>17360.134633184265</v>
      </c>
      <c r="BZ174" s="25">
        <v>17369.468568388071</v>
      </c>
      <c r="CA174" s="25">
        <v>17378.879108048666</v>
      </c>
      <c r="CB174" s="25">
        <v>17388.362388015888</v>
      </c>
      <c r="CC174" s="25">
        <v>17397.914358605096</v>
      </c>
      <c r="CD174" s="25">
        <v>17407.530806195588</v>
      </c>
      <c r="CE174" s="25">
        <v>17417.207379523596</v>
      </c>
      <c r="CF174" s="25">
        <v>17426.939620805028</v>
      </c>
      <c r="CG174" s="25">
        <v>17436.723001675378</v>
      </c>
      <c r="CH174" s="25">
        <v>17446.552963743987</v>
      </c>
      <c r="CI174" s="25">
        <v>17456.42496332504</v>
      </c>
      <c r="CJ174" s="25">
        <v>17466.334519630142</v>
      </c>
      <c r="CK174" s="25">
        <v>17476.277265393241</v>
      </c>
      <c r="CL174" s="25">
        <v>17486.248998561452</v>
      </c>
      <c r="CM174" s="25">
        <v>17496.245733345466</v>
      </c>
      <c r="CN174" s="25">
        <v>17506.263748612731</v>
      </c>
      <c r="CO174" s="25">
        <v>17516.299631364371</v>
      </c>
      <c r="CP174" s="25">
        <v>17526.350312913739</v>
      </c>
      <c r="CQ174" s="25">
        <v>17536.413095433669</v>
      </c>
      <c r="CR174" s="25">
        <v>17546.485666814177</v>
      </c>
      <c r="CS174" s="25">
        <v>17556.566102312514</v>
      </c>
      <c r="CT174" s="25">
        <v>17566.652852297149</v>
      </c>
      <c r="CU174" s="25">
        <v>17576.744716458379</v>
      </c>
      <c r="CV174" s="25">
        <v>17586.840806094515</v>
      </c>
      <c r="CW174" s="25">
        <v>17596.94049733441</v>
      </c>
      <c r="CX174" s="25">
        <v>17607.043379214421</v>
      </c>
      <c r="CY174" s="25">
        <v>17617.149201152824</v>
      </c>
      <c r="CZ174" s="25">
        <v>17627.257824342811</v>
      </c>
      <c r="DA174" s="25">
        <v>17637.369180805174</v>
      </c>
      <c r="DB174" s="25">
        <v>17647.483242371392</v>
      </c>
      <c r="DC174" s="44">
        <f t="shared" si="32"/>
        <v>17657.599999999999</v>
      </c>
      <c r="DD174" s="5">
        <f t="shared" si="40"/>
        <v>18</v>
      </c>
      <c r="DE174" s="30" cm="1">
        <f t="array" ref="DE174">1/2*(rf-q)*DD174*dt-1/2*(sigma^2)*(DD174^2)*dt</f>
        <v>-0.24366775068493146</v>
      </c>
      <c r="DF174" s="25">
        <f t="shared" si="36"/>
        <v>1.49239522739726</v>
      </c>
      <c r="DG174" s="6">
        <f t="shared" si="37"/>
        <v>-0.2484611753424657</v>
      </c>
      <c r="DH174" s="5">
        <f t="shared" si="39"/>
        <v>-464.05056099192007</v>
      </c>
      <c r="DI174" s="6">
        <v>17186.332449845831</v>
      </c>
    </row>
    <row r="175" spans="10:113" x14ac:dyDescent="0.25">
      <c r="X175" s="16">
        <f>(Y174*$C$15+Y176*(1-$C$15))*EXP(-$C$9*$C$13)</f>
        <v>22271.260869123344</v>
      </c>
      <c r="Y175" s="15">
        <f>X174*$C$14</f>
        <v>14955.724745669901</v>
      </c>
      <c r="Z175" s="16">
        <f>(AA174*$C$15+AA176*(1-$C$15))*EXP(-$C$9*$C$13)</f>
        <v>22283.122395308244</v>
      </c>
      <c r="AA175" s="15">
        <f>Z176/$C$14</f>
        <v>14955.724745669901</v>
      </c>
      <c r="AB175" s="16">
        <f>(AC174*$C$15+AC176*(1-$C$15))*EXP(-$C$9*$C$13)</f>
        <v>22294.992307911394</v>
      </c>
      <c r="AC175" s="15">
        <f>AB176/$C$14</f>
        <v>14955.724745669901</v>
      </c>
      <c r="AD175" s="16">
        <f>(AE174*$C$15+AE176*(1-$C$15))*EXP(-$C$9*$C$13)</f>
        <v>22306.869472027218</v>
      </c>
      <c r="AE175" s="15">
        <f>AD176/$C$14</f>
        <v>14955.724745669901</v>
      </c>
      <c r="AF175" s="16">
        <f>(AG174*$C$15+AG176*(1-$C$15))*EXP(-$C$9*$C$13)</f>
        <v>22318.753276232925</v>
      </c>
      <c r="AG175" s="15">
        <f>AF176/$C$14</f>
        <v>14955.724745669901</v>
      </c>
      <c r="AH175" s="16">
        <f>(AI174*$C$15+AI176*(1-$C$15))*EXP(-$C$9*$C$13)</f>
        <v>22330.643471469324</v>
      </c>
      <c r="AI175" s="15">
        <f>AH176/$C$14</f>
        <v>14955.724745669901</v>
      </c>
      <c r="AJ175" s="16">
        <f>(AK174*$C$15+AK176*(1-$C$15))*EXP(-$C$9*$C$13)</f>
        <v>22342.540001143003</v>
      </c>
      <c r="AK175" s="15">
        <f>AJ176/$C$14</f>
        <v>14955.724745669901</v>
      </c>
      <c r="AL175" s="16">
        <f>(AM174*$C$15+AM176*(1-$C$15))*EXP(-$C$9*$C$13)</f>
        <v>22354.442868628594</v>
      </c>
      <c r="AM175" s="15">
        <f>AL176/$C$14</f>
        <v>14955.724745669901</v>
      </c>
      <c r="AN175" s="16">
        <f>(AO174*$C$15+AO176*(1-$C$15))*EXP(-$C$9*$C$13)</f>
        <v>22366.352077302541</v>
      </c>
      <c r="AO175" s="15">
        <f>AN176/$C$14</f>
        <v>14955.724745669901</v>
      </c>
      <c r="AP175" s="16">
        <f>(AQ174*$C$15+AQ176*(1-$C$15))*EXP(-$C$9*$C$13)</f>
        <v>22378.267630543069</v>
      </c>
      <c r="AQ175" s="15">
        <f>AP176/$C$14</f>
        <v>14955.724745669901</v>
      </c>
      <c r="AR175" s="16">
        <f>(AS174*$C$15+AS176*(1-$C$15))*EXP(-$C$9*$C$13)</f>
        <v>22390.189531730215</v>
      </c>
      <c r="AS175" s="15">
        <f>AR176/$C$14</f>
        <v>14955.724745669901</v>
      </c>
      <c r="AT175" s="16">
        <f>(AU174*$C$15+AU176*(1-$C$15))*EXP(-$C$9*$C$13)</f>
        <v>22402.117784245813</v>
      </c>
      <c r="AU175" s="15">
        <f>AT176/$C$14</f>
        <v>14955.724745669901</v>
      </c>
      <c r="AV175" s="16">
        <f>(AW174*$C$15+AW176*(1-$C$15))*EXP(-$C$9*$C$13)</f>
        <v>22414.052391473502</v>
      </c>
      <c r="AW175" s="15">
        <f>AV176/$C$14</f>
        <v>14955.724745669901</v>
      </c>
      <c r="AX175" s="16">
        <f>(AY174*$C$15+AY176*(1-$C$15))*EXP(-$C$9*$C$13)</f>
        <v>22425.993356798717</v>
      </c>
      <c r="AY175" s="15">
        <f>AX176/$C$14</f>
        <v>14955.724745669901</v>
      </c>
      <c r="AZ175" s="16">
        <f>(BA174*$C$15+BA176*(1-$C$15))*EXP(-$C$9*$C$13)</f>
        <v>22437.9406836087</v>
      </c>
      <c r="BA175" s="15">
        <f>AZ176/$C$14</f>
        <v>14955.724745669901</v>
      </c>
      <c r="BB175" s="16">
        <f>MAX(0,$C$8-BB174)</f>
        <v>22449.894375292497</v>
      </c>
      <c r="BD175" s="23">
        <f t="shared" si="38"/>
        <v>19212.266666666765</v>
      </c>
      <c r="BE175" s="25">
        <v>18306.287964507817</v>
      </c>
      <c r="BF175" s="25">
        <v>18314.651820689385</v>
      </c>
      <c r="BG175" s="25">
        <v>18323.096586721294</v>
      </c>
      <c r="BH175" s="25">
        <v>18331.621509657711</v>
      </c>
      <c r="BI175" s="25">
        <v>18340.225728094825</v>
      </c>
      <c r="BJ175" s="25">
        <v>18348.90826813961</v>
      </c>
      <c r="BK175" s="25">
        <v>18357.66803962829</v>
      </c>
      <c r="BL175" s="25">
        <v>18366.503832666698</v>
      </c>
      <c r="BM175" s="25">
        <v>18375.414314573642</v>
      </c>
      <c r="BN175" s="25">
        <v>18384.398027317282</v>
      </c>
      <c r="BO175" s="25">
        <v>18393.453385543926</v>
      </c>
      <c r="BP175" s="25">
        <v>18402.578675307541</v>
      </c>
      <c r="BQ175" s="25">
        <v>18411.77205361742</v>
      </c>
      <c r="BR175" s="25">
        <v>18421.031548929175</v>
      </c>
      <c r="BS175" s="25">
        <v>18430.355062711333</v>
      </c>
      <c r="BT175" s="25">
        <v>18439.740372224805</v>
      </c>
      <c r="BU175" s="25">
        <v>18449.185134654857</v>
      </c>
      <c r="BV175" s="25">
        <v>18458.686892734666</v>
      </c>
      <c r="BW175" s="25">
        <v>18468.243081994256</v>
      </c>
      <c r="BX175" s="25">
        <v>18477.851039758047</v>
      </c>
      <c r="BY175" s="25">
        <v>18487.508015997115</v>
      </c>
      <c r="BZ175" s="25">
        <v>18497.211186117227</v>
      </c>
      <c r="CA175" s="25">
        <v>18506.957665729395</v>
      </c>
      <c r="CB175" s="25">
        <v>18516.744527405219</v>
      </c>
      <c r="CC175" s="25">
        <v>18526.568819363216</v>
      </c>
      <c r="CD175" s="25">
        <v>18536.4275859646</v>
      </c>
      <c r="CE175" s="25">
        <v>18546.317889816983</v>
      </c>
      <c r="CF175" s="25">
        <v>18556.236835193449</v>
      </c>
      <c r="CG175" s="25">
        <v>18566.18159237432</v>
      </c>
      <c r="CH175" s="25">
        <v>18576.149422412866</v>
      </c>
      <c r="CI175" s="25">
        <v>18586.13770171953</v>
      </c>
      <c r="CJ175" s="25">
        <v>18596.143945759461</v>
      </c>
      <c r="CK175" s="25">
        <v>18606.165831073784</v>
      </c>
      <c r="CL175" s="25">
        <v>18616.201214777935</v>
      </c>
      <c r="CM175" s="25">
        <v>18626.248150673269</v>
      </c>
      <c r="CN175" s="25">
        <v>18636.304901143703</v>
      </c>
      <c r="CO175" s="25">
        <v>18646.369944110262</v>
      </c>
      <c r="CP175" s="25">
        <v>18656.441974492005</v>
      </c>
      <c r="CQ175" s="25">
        <v>18666.519899874569</v>
      </c>
      <c r="CR175" s="25">
        <v>18676.602830413081</v>
      </c>
      <c r="CS175" s="25">
        <v>18686.690063375576</v>
      </c>
      <c r="CT175" s="25">
        <v>18696.781063136084</v>
      </c>
      <c r="CU175" s="25">
        <v>18706.875437808372</v>
      </c>
      <c r="CV175" s="25">
        <v>18716.972914016154</v>
      </c>
      <c r="CW175" s="25">
        <v>18727.073311465876</v>
      </c>
      <c r="CX175" s="25">
        <v>18737.176518973945</v>
      </c>
      <c r="CY175" s="25">
        <v>18747.282473375886</v>
      </c>
      <c r="CZ175" s="25">
        <v>18757.391142321994</v>
      </c>
      <c r="DA175" s="25">
        <v>18767.502511401955</v>
      </c>
      <c r="DB175" s="25">
        <v>18777.616575444652</v>
      </c>
      <c r="DC175" s="44">
        <f t="shared" si="32"/>
        <v>18787.73333333333</v>
      </c>
      <c r="DD175" s="5">
        <f t="shared" si="40"/>
        <v>17</v>
      </c>
      <c r="DE175" s="30" cm="1">
        <f t="array" ref="DE175">1/2*(rf-q)*DD175*dt-1/2*(sigma^2)*(DD175^2)*dt</f>
        <v>-0.21721986369863008</v>
      </c>
      <c r="DF175" s="25">
        <f t="shared" si="36"/>
        <v>1.4392331520547943</v>
      </c>
      <c r="DG175" s="6">
        <f t="shared" si="37"/>
        <v>-0.22174698698630133</v>
      </c>
      <c r="DH175" s="5">
        <f t="shared" si="39"/>
        <v>-481.44536881544627</v>
      </c>
      <c r="DI175" s="6">
        <v>18298.005666881283</v>
      </c>
    </row>
    <row r="176" spans="10:113" x14ac:dyDescent="0.25">
      <c r="Y176" s="16">
        <f>(Z175*$C$15+Z177*(1-$C$15))*EXP(-$C$9*$C$13)</f>
        <v>22866.99664267429</v>
      </c>
      <c r="Z176" s="15">
        <f>Y175*$C$14</f>
        <v>14384.063238313232</v>
      </c>
      <c r="AA176" s="16">
        <f>(AB175*$C$15+AB177*(1-$C$15))*EXP(-$C$9*$C$13)</f>
        <v>22879.178224922514</v>
      </c>
      <c r="AB176" s="15">
        <f>AA177/$C$14</f>
        <v>14384.063238313232</v>
      </c>
      <c r="AC176" s="16">
        <f>(AD175*$C$15+AD177*(1-$C$15))*EXP(-$C$9*$C$13)</f>
        <v>22891.366793559726</v>
      </c>
      <c r="AD176" s="15">
        <f>AC177/$C$14</f>
        <v>14384.063238313232</v>
      </c>
      <c r="AE176" s="16">
        <f>(AF175*$C$15+AF177*(1-$C$15))*EXP(-$C$9*$C$13)</f>
        <v>22903.562016147316</v>
      </c>
      <c r="AF176" s="15">
        <f>AE177/$C$14</f>
        <v>14384.063238313232</v>
      </c>
      <c r="AG176" s="16">
        <f>(AH175*$C$15+AH177*(1-$C$15))*EXP(-$C$9*$C$13)</f>
        <v>22915.763765080621</v>
      </c>
      <c r="AH176" s="15">
        <f>AG177/$C$14</f>
        <v>14384.063238313232</v>
      </c>
      <c r="AI176" s="16">
        <f>(AJ175*$C$15+AJ177*(1-$C$15))*EXP(-$C$9*$C$13)</f>
        <v>22927.972014429753</v>
      </c>
      <c r="AJ176" s="15">
        <f>AI177/$C$14</f>
        <v>14384.063238313232</v>
      </c>
      <c r="AK176" s="16">
        <f>(AL175*$C$15+AL177*(1-$C$15))*EXP(-$C$9*$C$13)</f>
        <v>22940.186767657775</v>
      </c>
      <c r="AL176" s="15">
        <f>AK177/$C$14</f>
        <v>14384.063238313232</v>
      </c>
      <c r="AM176" s="16">
        <f>(AN175*$C$15+AN177*(1-$C$15))*EXP(-$C$9*$C$13)</f>
        <v>22952.408028229591</v>
      </c>
      <c r="AN176" s="15">
        <f>AM177/$C$14</f>
        <v>14384.063238313232</v>
      </c>
      <c r="AO176" s="16">
        <f>(AP175*$C$15+AP177*(1-$C$15))*EXP(-$C$9*$C$13)</f>
        <v>22964.635799611955</v>
      </c>
      <c r="AP176" s="15">
        <f>AO177/$C$14</f>
        <v>14384.063238313232</v>
      </c>
      <c r="AQ176" s="16">
        <f>(AR175*$C$15+AR177*(1-$C$15))*EXP(-$C$9*$C$13)</f>
        <v>22976.870085273469</v>
      </c>
      <c r="AR176" s="15">
        <f>AQ177/$C$14</f>
        <v>14384.063238313232</v>
      </c>
      <c r="AS176" s="16">
        <f>(AT175*$C$15+AT177*(1-$C$15))*EXP(-$C$9*$C$13)</f>
        <v>22989.110888684569</v>
      </c>
      <c r="AT176" s="15">
        <f>AS177/$C$14</f>
        <v>14384.063238313232</v>
      </c>
      <c r="AU176" s="16">
        <f>(AV175*$C$15+AV177*(1-$C$15))*EXP(-$C$9*$C$13)</f>
        <v>23001.358213317562</v>
      </c>
      <c r="AV176" s="15">
        <f>AU177/$C$14</f>
        <v>14384.063238313232</v>
      </c>
      <c r="AW176" s="16">
        <f>(AX175*$C$15+AX177*(1-$C$15))*EXP(-$C$9*$C$13)</f>
        <v>23013.612062646593</v>
      </c>
      <c r="AX176" s="15">
        <f>AW177/$C$14</f>
        <v>14384.063238313232</v>
      </c>
      <c r="AY176" s="16">
        <f>(AZ175*$C$15+AZ177*(1-$C$15))*EXP(-$C$9*$C$13)</f>
        <v>23025.872440147654</v>
      </c>
      <c r="AZ176" s="15">
        <f>AY177/$C$14</f>
        <v>14384.063238313232</v>
      </c>
      <c r="BA176" s="16">
        <f>(BB175*$C$15+BB177*(1-$C$15))*EXP(-$C$9*$C$13)</f>
        <v>23038.139349298592</v>
      </c>
      <c r="BB176" s="15">
        <f>BA177/$C$14</f>
        <v>14384.063238313232</v>
      </c>
      <c r="BD176" s="23">
        <f t="shared" si="38"/>
        <v>18082.13333333343</v>
      </c>
      <c r="BE176" s="25">
        <v>19426.15584658739</v>
      </c>
      <c r="BF176" s="25">
        <v>19435.216935994387</v>
      </c>
      <c r="BG176" s="25">
        <v>19444.333605000473</v>
      </c>
      <c r="BH176" s="25">
        <v>19453.504769132662</v>
      </c>
      <c r="BI176" s="25">
        <v>19462.729272176362</v>
      </c>
      <c r="BJ176" s="25">
        <v>19472.005886118524</v>
      </c>
      <c r="BK176" s="25">
        <v>19481.333311491231</v>
      </c>
      <c r="BL176" s="25">
        <v>19490.710178162899</v>
      </c>
      <c r="BM176" s="25">
        <v>19500.135046626034</v>
      </c>
      <c r="BN176" s="25">
        <v>19509.606409831089</v>
      </c>
      <c r="BO176" s="25">
        <v>19519.122695616508</v>
      </c>
      <c r="BP176" s="25">
        <v>19528.682269783694</v>
      </c>
      <c r="BQ176" s="25">
        <v>19538.283439863837</v>
      </c>
      <c r="BR176" s="25">
        <v>19547.92445961928</v>
      </c>
      <c r="BS176" s="25">
        <v>19557.603534317012</v>
      </c>
      <c r="BT176" s="25">
        <v>19567.318826803639</v>
      </c>
      <c r="BU176" s="25">
        <v>19577.068464401356</v>
      </c>
      <c r="BV176" s="25">
        <v>19586.850546631187</v>
      </c>
      <c r="BW176" s="25">
        <v>19596.663153754012</v>
      </c>
      <c r="BX176" s="25">
        <v>19606.504356100668</v>
      </c>
      <c r="BY176" s="25">
        <v>19616.372224139879</v>
      </c>
      <c r="BZ176" s="25">
        <v>19626.264839207171</v>
      </c>
      <c r="CA176" s="25">
        <v>19636.180304788944</v>
      </c>
      <c r="CB176" s="25">
        <v>19646.116758224594</v>
      </c>
      <c r="CC176" s="25">
        <v>19656.072382656286</v>
      </c>
      <c r="CD176" s="25">
        <v>19666.045419021892</v>
      </c>
      <c r="CE176" s="25">
        <v>19676.034177853573</v>
      </c>
      <c r="CF176" s="25">
        <v>19686.037050613751</v>
      </c>
      <c r="CG176" s="25">
        <v>19696.052520275309</v>
      </c>
      <c r="CH176" s="25">
        <v>19706.079170835099</v>
      </c>
      <c r="CI176" s="25">
        <v>19716.11569544403</v>
      </c>
      <c r="CJ176" s="25">
        <v>19726.160902845029</v>
      </c>
      <c r="CK176" s="25">
        <v>19736.213721835818</v>
      </c>
      <c r="CL176" s="25">
        <v>19746.273203519369</v>
      </c>
      <c r="CM176" s="25">
        <v>19756.33852117226</v>
      </c>
      <c r="CN176" s="25">
        <v>19766.408967650153</v>
      </c>
      <c r="CO176" s="25">
        <v>19776.483950358455</v>
      </c>
      <c r="CP176" s="25">
        <v>19786.562983939122</v>
      </c>
      <c r="CQ176" s="25">
        <v>19796.645680955</v>
      </c>
      <c r="CR176" s="25">
        <v>19806.731740978536</v>
      </c>
      <c r="CS176" s="25">
        <v>19816.820938600842</v>
      </c>
      <c r="CT176" s="25">
        <v>19826.913110953305</v>
      </c>
      <c r="CU176" s="25">
        <v>19837.008145365267</v>
      </c>
      <c r="CV176" s="25">
        <v>19847.105967756383</v>
      </c>
      <c r="CW176" s="25">
        <v>19857.20653227748</v>
      </c>
      <c r="CX176" s="25">
        <v>19867.309812574153</v>
      </c>
      <c r="CY176" s="25">
        <v>19877.415794868339</v>
      </c>
      <c r="CZ176" s="25">
        <v>19887.524472859699</v>
      </c>
      <c r="DA176" s="25">
        <v>19897.63584427195</v>
      </c>
      <c r="DB176" s="25">
        <v>19907.749908739348</v>
      </c>
      <c r="DC176" s="44">
        <f t="shared" si="32"/>
        <v>19917.866666666665</v>
      </c>
      <c r="DD176" s="5">
        <f t="shared" si="40"/>
        <v>16</v>
      </c>
      <c r="DE176" s="30" cm="1">
        <f t="array" ref="DE176">1/2*(rf-q)*DD176*dt-1/2*(sigma^2)*(DD176^2)*dt</f>
        <v>-0.19229089315068487</v>
      </c>
      <c r="DF176" s="25">
        <f t="shared" si="36"/>
        <v>1.389108909589041</v>
      </c>
      <c r="DG176" s="6">
        <f t="shared" si="37"/>
        <v>-0.19655171506849309</v>
      </c>
      <c r="DH176" s="5">
        <f t="shared" si="39"/>
        <v>-491.71082006511642</v>
      </c>
      <c r="DI176" s="6">
        <v>19417.151349922977</v>
      </c>
    </row>
    <row r="177" spans="26:113" x14ac:dyDescent="0.25">
      <c r="Z177" s="16">
        <f>(AA176*$C$15+AA178*(1-$C$15))*EXP(-$C$9*$C$13)</f>
        <v>23440.500972370679</v>
      </c>
      <c r="AA177" s="15">
        <f>Z176*$C$14</f>
        <v>13834.252686664204</v>
      </c>
      <c r="AB177" s="16">
        <f>(AC176*$C$15+AC178*(1-$C$15))*EXP(-$C$9*$C$13)</f>
        <v>23452.988675926164</v>
      </c>
      <c r="AC177" s="15">
        <f>AB178/$C$14</f>
        <v>13834.252686664204</v>
      </c>
      <c r="AD177" s="16">
        <f>(AE176*$C$15+AE178*(1-$C$15))*EXP(-$C$9*$C$13)</f>
        <v>23465.483114531267</v>
      </c>
      <c r="AE177" s="15">
        <f>AD178/$C$14</f>
        <v>13834.252686664204</v>
      </c>
      <c r="AF177" s="16">
        <f>(AG176*$C$15+AG178*(1-$C$15))*EXP(-$C$9*$C$13)</f>
        <v>23477.984223894095</v>
      </c>
      <c r="AG177" s="15">
        <f>AF178/$C$14</f>
        <v>13834.252686664204</v>
      </c>
      <c r="AH177" s="16">
        <f>(AI176*$C$15+AI178*(1-$C$15))*EXP(-$C$9*$C$13)</f>
        <v>23490.491993155407</v>
      </c>
      <c r="AI177" s="15">
        <f>AH178/$C$14</f>
        <v>13834.252686664204</v>
      </c>
      <c r="AJ177" s="16">
        <f>(AK176*$C$15+AK178*(1-$C$15))*EXP(-$C$9*$C$13)</f>
        <v>23503.006425863219</v>
      </c>
      <c r="AK177" s="15">
        <f>AJ178/$C$14</f>
        <v>13834.252686664204</v>
      </c>
      <c r="AL177" s="16">
        <f>(AM176*$C$15+AM178*(1-$C$15))*EXP(-$C$9*$C$13)</f>
        <v>23515.52752556745</v>
      </c>
      <c r="AM177" s="15">
        <f>AL178/$C$14</f>
        <v>13834.252686664204</v>
      </c>
      <c r="AN177" s="16">
        <f>(AO176*$C$15+AO178*(1-$C$15))*EXP(-$C$9*$C$13)</f>
        <v>23528.055295819908</v>
      </c>
      <c r="AO177" s="15">
        <f>AN178/$C$14</f>
        <v>13834.252686664204</v>
      </c>
      <c r="AP177" s="16">
        <f>(AQ176*$C$15+AQ178*(1-$C$15))*EXP(-$C$9*$C$13)</f>
        <v>23540.589740174291</v>
      </c>
      <c r="AQ177" s="15">
        <f>AP178/$C$14</f>
        <v>13834.252686664204</v>
      </c>
      <c r="AR177" s="16">
        <f>(AS176*$C$15+AS178*(1-$C$15))*EXP(-$C$9*$C$13)</f>
        <v>23553.13086218619</v>
      </c>
      <c r="AS177" s="15">
        <f>AR178/$C$14</f>
        <v>13834.252686664204</v>
      </c>
      <c r="AT177" s="16">
        <f>(AU176*$C$15+AU178*(1-$C$15))*EXP(-$C$9*$C$13)</f>
        <v>23565.678665413085</v>
      </c>
      <c r="AU177" s="15">
        <f>AT178/$C$14</f>
        <v>13834.252686664204</v>
      </c>
      <c r="AV177" s="16">
        <f>(AW176*$C$15+AW178*(1-$C$15))*EXP(-$C$9*$C$13)</f>
        <v>23578.233153414367</v>
      </c>
      <c r="AW177" s="15">
        <f>AV178/$C$14</f>
        <v>13834.252686664204</v>
      </c>
      <c r="AX177" s="16">
        <f>(AY176*$C$15+AY178*(1-$C$15))*EXP(-$C$9*$C$13)</f>
        <v>23590.794329751308</v>
      </c>
      <c r="AY177" s="15">
        <f>AX178/$C$14</f>
        <v>13834.252686664204</v>
      </c>
      <c r="AZ177" s="16">
        <f>(BA176*$C$15+BA178*(1-$C$15))*EXP(-$C$9*$C$13)</f>
        <v>23603.362197987084</v>
      </c>
      <c r="BA177" s="15">
        <f>AZ178/$C$14</f>
        <v>13834.252686664204</v>
      </c>
      <c r="BB177" s="16">
        <f>MAX(0,$C$8-BB176)</f>
        <v>23615.936761686768</v>
      </c>
      <c r="BD177" s="23">
        <f t="shared" si="38"/>
        <v>16952.000000000095</v>
      </c>
      <c r="BE177" s="25">
        <v>20550.619266679631</v>
      </c>
      <c r="BF177" s="25">
        <v>20560.116548182403</v>
      </c>
      <c r="BG177" s="25">
        <v>20569.649234483724</v>
      </c>
      <c r="BH177" s="25">
        <v>20579.216273824488</v>
      </c>
      <c r="BI177" s="25">
        <v>20588.816580430175</v>
      </c>
      <c r="BJ177" s="25">
        <v>20598.449036434024</v>
      </c>
      <c r="BK177" s="25">
        <v>20608.11249410958</v>
      </c>
      <c r="BL177" s="25">
        <v>20617.805778426264</v>
      </c>
      <c r="BM177" s="25">
        <v>20627.527689938841</v>
      </c>
      <c r="BN177" s="25">
        <v>20637.277008018955</v>
      </c>
      <c r="BO177" s="25">
        <v>20647.052494432843</v>
      </c>
      <c r="BP177" s="25">
        <v>20656.852897265038</v>
      </c>
      <c r="BQ177" s="25">
        <v>20666.676955182284</v>
      </c>
      <c r="BR177" s="25">
        <v>20676.523402025719</v>
      </c>
      <c r="BS177" s="25">
        <v>20686.39097171204</v>
      </c>
      <c r="BT177" s="25">
        <v>20696.278403416385</v>
      </c>
      <c r="BU177" s="25">
        <v>20706.184447000509</v>
      </c>
      <c r="BV177" s="25">
        <v>20716.107868640192</v>
      </c>
      <c r="BW177" s="25">
        <v>20726.047456595425</v>
      </c>
      <c r="BX177" s="25">
        <v>20736.002027056067</v>
      </c>
      <c r="BY177" s="25">
        <v>20745.97042998482</v>
      </c>
      <c r="BZ177" s="25">
        <v>20755.951554868989</v>
      </c>
      <c r="CA177" s="25">
        <v>20765.944336282446</v>
      </c>
      <c r="CB177" s="25">
        <v>20775.947759151011</v>
      </c>
      <c r="CC177" s="25">
        <v>20785.960863608219</v>
      </c>
      <c r="CD177" s="25">
        <v>20795.982749324721</v>
      </c>
      <c r="CE177" s="25">
        <v>20806.012579194947</v>
      </c>
      <c r="CF177" s="25">
        <v>20816.04958226905</v>
      </c>
      <c r="CG177" s="25">
        <v>20826.093055827838</v>
      </c>
      <c r="CH177" s="25">
        <v>20836.142366514086</v>
      </c>
      <c r="CI177" s="25">
        <v>20846.196950455051</v>
      </c>
      <c r="CJ177" s="25">
        <v>20856.256312338843</v>
      </c>
      <c r="CK177" s="25">
        <v>20866.320023441171</v>
      </c>
      <c r="CL177" s="25">
        <v>20876.387718636906</v>
      </c>
      <c r="CM177" s="25">
        <v>20886.459092472804</v>
      </c>
      <c r="CN177" s="25">
        <v>20896.533894419794</v>
      </c>
      <c r="CO177" s="25">
        <v>20906.611923463708</v>
      </c>
      <c r="CP177" s="25">
        <v>20916.69302222801</v>
      </c>
      <c r="CQ177" s="25">
        <v>20926.777070847533</v>
      </c>
      <c r="CR177" s="25">
        <v>20936.863980825368</v>
      </c>
      <c r="CS177" s="25">
        <v>20946.953689102342</v>
      </c>
      <c r="CT177" s="25">
        <v>20957.046152549068</v>
      </c>
      <c r="CU177" s="25">
        <v>20967.141343054191</v>
      </c>
      <c r="CV177" s="25">
        <v>20977.239243331867</v>
      </c>
      <c r="CW177" s="25">
        <v>20987.339843511199</v>
      </c>
      <c r="CX177" s="25">
        <v>20997.443138507446</v>
      </c>
      <c r="CY177" s="25">
        <v>21007.549126116566</v>
      </c>
      <c r="CZ177" s="25">
        <v>21017.657805729195</v>
      </c>
      <c r="DA177" s="25">
        <v>21027.76917753318</v>
      </c>
      <c r="DB177" s="25">
        <v>21037.883242067026</v>
      </c>
      <c r="DC177" s="44">
        <f t="shared" si="32"/>
        <v>21048</v>
      </c>
      <c r="DD177" s="5">
        <f t="shared" si="40"/>
        <v>15</v>
      </c>
      <c r="DE177" s="30" cm="1">
        <f t="array" ref="DE177">1/2*(rf-q)*DD177*dt-1/2*(sigma^2)*(DD177^2)*dt</f>
        <v>-0.16888083904109585</v>
      </c>
      <c r="DF177" s="25">
        <f t="shared" si="36"/>
        <v>1.3420224999999999</v>
      </c>
      <c r="DG177" s="6">
        <f t="shared" si="37"/>
        <v>-0.17287535958904107</v>
      </c>
      <c r="DH177" s="5">
        <f t="shared" si="39"/>
        <v>-497.38073330619591</v>
      </c>
      <c r="DI177" s="6">
        <v>20541.158406090351</v>
      </c>
    </row>
    <row r="178" spans="26:113" x14ac:dyDescent="0.25">
      <c r="AA178" s="16">
        <f>(AB177*$C$15+AB179*(1-$C$15))*EXP(-$C$9*$C$13)</f>
        <v>23992.6154536377</v>
      </c>
      <c r="AB178" s="15">
        <f>AA177*$C$14</f>
        <v>13305.457868726595</v>
      </c>
      <c r="AC178" s="16">
        <f>(AD177*$C$15+AD179*(1-$C$15))*EXP(-$C$9*$C$13)</f>
        <v>24005.397382842253</v>
      </c>
      <c r="AD178" s="15">
        <f>AC179/$C$14</f>
        <v>13305.457868726595</v>
      </c>
      <c r="AE178" s="16">
        <f>(AF177*$C$15+AF179*(1-$C$15))*EXP(-$C$9*$C$13)</f>
        <v>24018.186128614772</v>
      </c>
      <c r="AF178" s="15">
        <f>AE179/$C$14</f>
        <v>13305.457868726595</v>
      </c>
      <c r="AG178" s="16">
        <f>(AH177*$C$15+AH179*(1-$C$15))*EXP(-$C$9*$C$13)</f>
        <v>24030.981687522511</v>
      </c>
      <c r="AH178" s="15">
        <f>AG179/$C$14</f>
        <v>13305.457868726595</v>
      </c>
      <c r="AI178" s="16">
        <f>(AJ177*$C$15+AJ179*(1-$C$15))*EXP(-$C$9*$C$13)</f>
        <v>24043.78406319514</v>
      </c>
      <c r="AJ178" s="15">
        <f>AI179/$C$14</f>
        <v>13305.457868726595</v>
      </c>
      <c r="AK178" s="16">
        <f>(AL177*$C$15+AL179*(1-$C$15))*EXP(-$C$9*$C$13)</f>
        <v>24056.593259264242</v>
      </c>
      <c r="AL178" s="15">
        <f>AK179/$C$14</f>
        <v>13305.457868726595</v>
      </c>
      <c r="AM178" s="16">
        <f>(AN177*$C$15+AN179*(1-$C$15))*EXP(-$C$9*$C$13)</f>
        <v>24069.409279363354</v>
      </c>
      <c r="AN178" s="15">
        <f>AM179/$C$14</f>
        <v>13305.457868726595</v>
      </c>
      <c r="AO178" s="16">
        <f>(AP177*$C$15+AP179*(1-$C$15))*EXP(-$C$9*$C$13)</f>
        <v>24082.23212712794</v>
      </c>
      <c r="AP178" s="15">
        <f>AO179/$C$14</f>
        <v>13305.457868726595</v>
      </c>
      <c r="AQ178" s="16">
        <f>(AR177*$C$15+AR179*(1-$C$15))*EXP(-$C$9*$C$13)</f>
        <v>24095.061806195397</v>
      </c>
      <c r="AR178" s="15">
        <f>AQ179/$C$14</f>
        <v>13305.457868726595</v>
      </c>
      <c r="AS178" s="16">
        <f>(AT177*$C$15+AT179*(1-$C$15))*EXP(-$C$9*$C$13)</f>
        <v>24107.898320205069</v>
      </c>
      <c r="AT178" s="15">
        <f>AS179/$C$14</f>
        <v>13305.457868726595</v>
      </c>
      <c r="AU178" s="16">
        <f>(AV177*$C$15+AV179*(1-$C$15))*EXP(-$C$9*$C$13)</f>
        <v>24120.741672798235</v>
      </c>
      <c r="AV178" s="15">
        <f>AU179/$C$14</f>
        <v>13305.457868726595</v>
      </c>
      <c r="AW178" s="16">
        <f>(AX177*$C$15+AX179*(1-$C$15))*EXP(-$C$9*$C$13)</f>
        <v>24133.59186761811</v>
      </c>
      <c r="AX178" s="15">
        <f>AW179/$C$14</f>
        <v>13305.457868726595</v>
      </c>
      <c r="AY178" s="16">
        <f>(AZ177*$C$15+AZ179*(1-$C$15))*EXP(-$C$9*$C$13)</f>
        <v>24146.448908309856</v>
      </c>
      <c r="AZ178" s="15">
        <f>AY179/$C$14</f>
        <v>13305.457868726595</v>
      </c>
      <c r="BA178" s="16">
        <f>(BB177*$C$15+BB179*(1-$C$15))*EXP(-$C$9*$C$13)</f>
        <v>24159.312798520568</v>
      </c>
      <c r="BB178" s="15">
        <f>BA179/$C$14</f>
        <v>13305.457868726595</v>
      </c>
      <c r="BD178" s="23">
        <f t="shared" si="38"/>
        <v>15821.866666666761</v>
      </c>
      <c r="BE178" s="25">
        <v>21677.848357436076</v>
      </c>
      <c r="BF178" s="25">
        <v>21687.59748045123</v>
      </c>
      <c r="BG178" s="25">
        <v>21697.367639918346</v>
      </c>
      <c r="BH178" s="25">
        <v>21707.158017323905</v>
      </c>
      <c r="BI178" s="25">
        <v>21716.967787316633</v>
      </c>
      <c r="BJ178" s="25">
        <v>21726.796119827686</v>
      </c>
      <c r="BK178" s="25">
        <v>21736.642182328385</v>
      </c>
      <c r="BL178" s="25">
        <v>21746.505142218171</v>
      </c>
      <c r="BM178" s="25">
        <v>21756.384169333371</v>
      </c>
      <c r="BN178" s="25">
        <v>21766.278438564186</v>
      </c>
      <c r="BO178" s="25">
        <v>21776.187132564504</v>
      </c>
      <c r="BP178" s="25">
        <v>21786.109444535821</v>
      </c>
      <c r="BQ178" s="25">
        <v>21796.044581063201</v>
      </c>
      <c r="BR178" s="25">
        <v>21805.991764977756</v>
      </c>
      <c r="BS178" s="25">
        <v>21815.950238216661</v>
      </c>
      <c r="BT178" s="25">
        <v>21825.919264648193</v>
      </c>
      <c r="BU178" s="25">
        <v>21835.898132826369</v>
      </c>
      <c r="BV178" s="25">
        <v>21845.886158636546</v>
      </c>
      <c r="BW178" s="25">
        <v>21855.882687791298</v>
      </c>
      <c r="BX178" s="25">
        <v>21865.887098133979</v>
      </c>
      <c r="BY178" s="25">
        <v>21875.898801706837</v>
      </c>
      <c r="BZ178" s="25">
        <v>21885.917246540357</v>
      </c>
      <c r="CA178" s="25">
        <v>21895.941918122622</v>
      </c>
      <c r="CB178" s="25">
        <v>21905.972340509863</v>
      </c>
      <c r="CC178" s="25">
        <v>21916.008077044429</v>
      </c>
      <c r="CD178" s="25">
        <v>21926.048730652405</v>
      </c>
      <c r="CE178" s="25">
        <v>21936.093943701278</v>
      </c>
      <c r="CF178" s="25">
        <v>21946.14339740789</v>
      </c>
      <c r="CG178" s="25">
        <v>21956.196810798272</v>
      </c>
      <c r="CH178" s="25">
        <v>21966.253939233502</v>
      </c>
      <c r="CI178" s="25">
        <v>21976.314572529522</v>
      </c>
      <c r="CJ178" s="25">
        <v>21986.37853271241</v>
      </c>
      <c r="CK178" s="25">
        <v>21996.445671464273</v>
      </c>
      <c r="CL178" s="25">
        <v>22006.515867326936</v>
      </c>
      <c r="CM178" s="25">
        <v>22016.589022740747</v>
      </c>
      <c r="CN178" s="25">
        <v>22026.665061002699</v>
      </c>
      <c r="CO178" s="25">
        <v>22036.743923231203</v>
      </c>
      <c r="CP178" s="25">
        <v>22046.825565423311</v>
      </c>
      <c r="CQ178" s="25">
        <v>22056.909955683783</v>
      </c>
      <c r="CR178" s="25">
        <v>22066.997071694197</v>
      </c>
      <c r="CS178" s="25">
        <v>22077.086898474769</v>
      </c>
      <c r="CT178" s="25">
        <v>22087.179426472692</v>
      </c>
      <c r="CU178" s="25">
        <v>22097.274649990257</v>
      </c>
      <c r="CV178" s="25">
        <v>22107.372565945741</v>
      </c>
      <c r="CW178" s="25">
        <v>22117.47317294154</v>
      </c>
      <c r="CX178" s="25">
        <v>22127.576470600114</v>
      </c>
      <c r="CY178" s="25">
        <v>22137.682459118932</v>
      </c>
      <c r="CZ178" s="25">
        <v>22147.791138993067</v>
      </c>
      <c r="DA178" s="25">
        <v>22157.902510856373</v>
      </c>
      <c r="DB178" s="25">
        <v>22168.016575399612</v>
      </c>
      <c r="DC178" s="44">
        <f t="shared" si="32"/>
        <v>22178.133333333331</v>
      </c>
      <c r="DD178" s="5">
        <f t="shared" si="40"/>
        <v>14</v>
      </c>
      <c r="DE178" s="30" cm="1">
        <f t="array" ref="DE178">1/2*(rf-q)*DD178*dt-1/2*(sigma^2)*(DD178^2)*dt</f>
        <v>-0.14698970136986297</v>
      </c>
      <c r="DF178" s="25">
        <f t="shared" si="36"/>
        <v>1.297973923287671</v>
      </c>
      <c r="DG178" s="6">
        <f t="shared" si="37"/>
        <v>-0.15071792054794517</v>
      </c>
      <c r="DH178" s="5">
        <f t="shared" si="39"/>
        <v>-500.28497588308528</v>
      </c>
      <c r="DI178" s="6">
        <v>21668.121080570567</v>
      </c>
    </row>
    <row r="179" spans="26:113" x14ac:dyDescent="0.25">
      <c r="AB179" s="16">
        <f>(AC178*$C$15+AC180*(1-$C$15))*EXP(-$C$9*$C$13)</f>
        <v>24524.151739168017</v>
      </c>
      <c r="AC179" s="15">
        <f>AB178*$C$14</f>
        <v>12796.87548768825</v>
      </c>
      <c r="AD179" s="16">
        <f>(AE178*$C$15+AE180*(1-$C$15))*EXP(-$C$9*$C$13)</f>
        <v>24537.216848521428</v>
      </c>
      <c r="AE179" s="15">
        <f>AD180/$C$14</f>
        <v>12796.87548768825</v>
      </c>
      <c r="AF179" s="16">
        <f>(AG178*$C$15+AG180*(1-$C$15))*EXP(-$C$9*$C$13)</f>
        <v>24550.288918241262</v>
      </c>
      <c r="AG179" s="15">
        <f>AF180/$C$14</f>
        <v>12796.87548768825</v>
      </c>
      <c r="AH179" s="16">
        <f>(AI178*$C$15+AI180*(1-$C$15))*EXP(-$C$9*$C$13)</f>
        <v>24563.367952035624</v>
      </c>
      <c r="AI179" s="15">
        <f>AH180/$C$14</f>
        <v>12796.87548768825</v>
      </c>
      <c r="AJ179" s="16">
        <f>(AK178*$C$15+AK180*(1-$C$15))*EXP(-$C$9*$C$13)</f>
        <v>24576.453953614586</v>
      </c>
      <c r="AK179" s="15">
        <f>AJ180/$C$14</f>
        <v>12796.87548768825</v>
      </c>
      <c r="AL179" s="16">
        <f>(AM178*$C$15+AM180*(1-$C$15))*EXP(-$C$9*$C$13)</f>
        <v>24589.546926690193</v>
      </c>
      <c r="AM179" s="15">
        <f>AL180/$C$14</f>
        <v>12796.87548768825</v>
      </c>
      <c r="AN179" s="16">
        <f>(AO178*$C$15+AO180*(1-$C$15))*EXP(-$C$9*$C$13)</f>
        <v>24602.646874976479</v>
      </c>
      <c r="AO179" s="15">
        <f>AN180/$C$14</f>
        <v>12796.87548768825</v>
      </c>
      <c r="AP179" s="16">
        <f>(AQ178*$C$15+AQ180*(1-$C$15))*EXP(-$C$9*$C$13)</f>
        <v>24615.75380218944</v>
      </c>
      <c r="AQ179" s="15">
        <f>AP180/$C$14</f>
        <v>12796.87548768825</v>
      </c>
      <c r="AR179" s="16">
        <f>(AS178*$C$15+AS180*(1-$C$15))*EXP(-$C$9*$C$13)</f>
        <v>24628.867712047071</v>
      </c>
      <c r="AS179" s="15">
        <f>AR180/$C$14</f>
        <v>12796.87548768825</v>
      </c>
      <c r="AT179" s="16">
        <f>(AU178*$C$15+AU180*(1-$C$15))*EXP(-$C$9*$C$13)</f>
        <v>24641.988608269334</v>
      </c>
      <c r="AU179" s="15">
        <f>AT180/$C$14</f>
        <v>12796.87548768825</v>
      </c>
      <c r="AV179" s="16">
        <f>(AW178*$C$15+AW180*(1-$C$15))*EXP(-$C$9*$C$13)</f>
        <v>24655.116494578175</v>
      </c>
      <c r="AW179" s="15">
        <f>AV180/$C$14</f>
        <v>12796.87548768825</v>
      </c>
      <c r="AX179" s="16">
        <f>(AY178*$C$15+AY180*(1-$C$15))*EXP(-$C$9*$C$13)</f>
        <v>24668.251374697524</v>
      </c>
      <c r="AY179" s="15">
        <f>AX180/$C$14</f>
        <v>12796.87548768825</v>
      </c>
      <c r="AZ179" s="16">
        <f>(BA178*$C$15+BA180*(1-$C$15))*EXP(-$C$9*$C$13)</f>
        <v>24681.3932523533</v>
      </c>
      <c r="BA179" s="15">
        <f>AZ180/$C$14</f>
        <v>12796.87548768825</v>
      </c>
      <c r="BB179" s="16">
        <f>MAX(0,$C$8-BB178)</f>
        <v>24694.542131273403</v>
      </c>
      <c r="BD179" s="23">
        <f t="shared" si="38"/>
        <v>14691.733333333428</v>
      </c>
      <c r="BE179" s="25">
        <v>22806.616840381717</v>
      </c>
      <c r="BF179" s="25">
        <v>22816.498739922863</v>
      </c>
      <c r="BG179" s="25">
        <v>22826.392549754313</v>
      </c>
      <c r="BH179" s="25">
        <v>22836.29773556002</v>
      </c>
      <c r="BI179" s="25">
        <v>22846.213769616315</v>
      </c>
      <c r="BJ179" s="25">
        <v>22856.140132183114</v>
      </c>
      <c r="BK179" s="25">
        <v>22866.076312904617</v>
      </c>
      <c r="BL179" s="25">
        <v>22876.021812208688</v>
      </c>
      <c r="BM179" s="25">
        <v>22885.976142693027</v>
      </c>
      <c r="BN179" s="25">
        <v>22895.938830485542</v>
      </c>
      <c r="BO179" s="25">
        <v>22905.90941656486</v>
      </c>
      <c r="BP179" s="25">
        <v>22915.887458026533</v>
      </c>
      <c r="BQ179" s="25">
        <v>22925.872529279601</v>
      </c>
      <c r="BR179" s="25">
        <v>22935.86422315763</v>
      </c>
      <c r="BS179" s="25">
        <v>22945.862151928366</v>
      </c>
      <c r="BT179" s="25">
        <v>22955.865948186005</v>
      </c>
      <c r="BU179" s="25">
        <v>22965.875265610619</v>
      </c>
      <c r="BV179" s="25">
        <v>22975.889779580044</v>
      </c>
      <c r="BW179" s="25">
        <v>22985.909187620928</v>
      </c>
      <c r="BX179" s="25">
        <v>22995.933209687166</v>
      </c>
      <c r="BY179" s="25">
        <v>23005.961588256407</v>
      </c>
      <c r="BZ179" s="25">
        <v>23015.994088237887</v>
      </c>
      <c r="CA179" s="25">
        <v>23026.030496688123</v>
      </c>
      <c r="CB179" s="25">
        <v>23036.070622334708</v>
      </c>
      <c r="CC179" s="25">
        <v>23046.114294912415</v>
      </c>
      <c r="CD179" s="25">
        <v>23056.161364320124</v>
      </c>
      <c r="CE179" s="25">
        <v>23066.211699611806</v>
      </c>
      <c r="CF179" s="25">
        <v>23076.265187838922</v>
      </c>
      <c r="CG179" s="25">
        <v>23086.321732766042</v>
      </c>
      <c r="CH179" s="25">
        <v>23096.381253485579</v>
      </c>
      <c r="CI179" s="25">
        <v>23106.443682960271</v>
      </c>
      <c r="CJ179" s="25">
        <v>23116.508966524849</v>
      </c>
      <c r="CK179" s="25">
        <v>23126.577060379284</v>
      </c>
      <c r="CL179" s="25">
        <v>23136.647930106294</v>
      </c>
      <c r="CM179" s="25">
        <v>23146.72154924411</v>
      </c>
      <c r="CN179" s="25">
        <v>23156.797897943099</v>
      </c>
      <c r="CO179" s="25">
        <v>23166.876961730341</v>
      </c>
      <c r="CP179" s="25">
        <v>23176.958730401206</v>
      </c>
      <c r="CQ179" s="25">
        <v>23187.043197050771</v>
      </c>
      <c r="CR179" s="25">
        <v>23197.130357250997</v>
      </c>
      <c r="CS179" s="25">
        <v>23207.220208373088</v>
      </c>
      <c r="CT179" s="25">
        <v>23217.312749048066</v>
      </c>
      <c r="CU179" s="25">
        <v>23227.407978753159</v>
      </c>
      <c r="CV179" s="25">
        <v>23237.505897507821</v>
      </c>
      <c r="CW179" s="25">
        <v>23247.606505660635</v>
      </c>
      <c r="CX179" s="25">
        <v>23257.709803747894</v>
      </c>
      <c r="CY179" s="25">
        <v>23267.815792405338</v>
      </c>
      <c r="CZ179" s="25">
        <v>23277.924472317085</v>
      </c>
      <c r="DA179" s="25">
        <v>23288.035844188416</v>
      </c>
      <c r="DB179" s="25">
        <v>23298.149908732848</v>
      </c>
      <c r="DC179" s="44">
        <f t="shared" si="32"/>
        <v>23308.266666666663</v>
      </c>
      <c r="DD179" s="5">
        <f t="shared" si="40"/>
        <v>13</v>
      </c>
      <c r="DE179" s="30" cm="1">
        <f t="array" ref="DE179">1/2*(rf-q)*DD179*dt-1/2*(sigma^2)*(DD179^2)*dt</f>
        <v>-0.12661748013698626</v>
      </c>
      <c r="DF179" s="25">
        <f t="shared" si="36"/>
        <v>1.2569631794520546</v>
      </c>
      <c r="DG179" s="6">
        <f t="shared" si="37"/>
        <v>-0.13007939794520545</v>
      </c>
      <c r="DH179" s="5">
        <f t="shared" si="39"/>
        <v>-501.64982627077188</v>
      </c>
      <c r="DI179" s="6">
        <v>22796.747390666969</v>
      </c>
    </row>
    <row r="180" spans="26:113" x14ac:dyDescent="0.25">
      <c r="AC180" s="16">
        <f>(AD179*$C$15+AD181*(1-$C$15))*EXP(-$C$9*$C$13)</f>
        <v>25035.891146367419</v>
      </c>
      <c r="AD180" s="15">
        <f>AC179*$C$14</f>
        <v>12307.732951625898</v>
      </c>
      <c r="AE180" s="16">
        <f>(AF179*$C$15+AF181*(1-$C$15))*EXP(-$C$9*$C$13)</f>
        <v>25049.22888212547</v>
      </c>
      <c r="AF180" s="15">
        <f>AE181/$C$14</f>
        <v>12307.732951625898</v>
      </c>
      <c r="AG180" s="16">
        <f>(AH179*$C$15+AH181*(1-$C$15))*EXP(-$C$9*$C$13)</f>
        <v>25062.57372349019</v>
      </c>
      <c r="AH180" s="15">
        <f>AG181/$C$14</f>
        <v>12307.732951625898</v>
      </c>
      <c r="AI180" s="16">
        <f>(AJ179*$C$15+AJ181*(1-$C$15))*EXP(-$C$9*$C$13)</f>
        <v>25075.925674247057</v>
      </c>
      <c r="AJ180" s="15">
        <f>AI181/$C$14</f>
        <v>12307.732951625898</v>
      </c>
      <c r="AK180" s="16">
        <f>(AL179*$C$15+AL181*(1-$C$15))*EXP(-$C$9*$C$13)</f>
        <v>25089.284738183564</v>
      </c>
      <c r="AL180" s="15">
        <f>AK181/$C$14</f>
        <v>12307.732951625898</v>
      </c>
      <c r="AM180" s="16">
        <f>(AN179*$C$15+AN181*(1-$C$15))*EXP(-$C$9*$C$13)</f>
        <v>25102.650919089207</v>
      </c>
      <c r="AN180" s="15">
        <f>AM181/$C$14</f>
        <v>12307.732951625898</v>
      </c>
      <c r="AO180" s="16">
        <f>(AP179*$C$15+AP181*(1-$C$15))*EXP(-$C$9*$C$13)</f>
        <v>25116.024220755527</v>
      </c>
      <c r="AP180" s="15">
        <f>AO181/$C$14</f>
        <v>12307.732951625898</v>
      </c>
      <c r="AQ180" s="16">
        <f>(AR179*$C$15+AR181*(1-$C$15))*EXP(-$C$9*$C$13)</f>
        <v>25129.404646976061</v>
      </c>
      <c r="AR180" s="15">
        <f>AQ181/$C$14</f>
        <v>12307.732951625898</v>
      </c>
      <c r="AS180" s="16">
        <f>(AT179*$C$15+AT181*(1-$C$15))*EXP(-$C$9*$C$13)</f>
        <v>25142.792201546381</v>
      </c>
      <c r="AT180" s="15">
        <f>AS181/$C$14</f>
        <v>12307.732951625898</v>
      </c>
      <c r="AU180" s="16">
        <f>(AV179*$C$15+AV181*(1-$C$15))*EXP(-$C$9*$C$13)</f>
        <v>25156.18688826407</v>
      </c>
      <c r="AV180" s="15">
        <f>AU181/$C$14</f>
        <v>12307.732951625898</v>
      </c>
      <c r="AW180" s="16">
        <f>(AX179*$C$15+AX181*(1-$C$15))*EXP(-$C$9*$C$13)</f>
        <v>25169.588710928751</v>
      </c>
      <c r="AX180" s="15">
        <f>AW181/$C$14</f>
        <v>12307.732951625898</v>
      </c>
      <c r="AY180" s="16">
        <f>(AZ179*$C$15+AZ181*(1-$C$15))*EXP(-$C$9*$C$13)</f>
        <v>25182.997673342055</v>
      </c>
      <c r="AZ180" s="15">
        <f>AY181/$C$14</f>
        <v>12307.732951625898</v>
      </c>
      <c r="BA180" s="16">
        <f>(BB179*$C$15+BB181*(1-$C$15))*EXP(-$C$9*$C$13)</f>
        <v>25196.413779307648</v>
      </c>
      <c r="BB180" s="15">
        <f>BA181/$C$14</f>
        <v>12307.732951625898</v>
      </c>
      <c r="BD180" s="23">
        <f t="shared" si="38"/>
        <v>13561.600000000095</v>
      </c>
      <c r="BE180" s="25">
        <v>23936.169081332711</v>
      </c>
      <c r="BF180" s="25">
        <v>23946.114106151923</v>
      </c>
      <c r="BG180" s="25">
        <v>23956.065910549201</v>
      </c>
      <c r="BH180" s="25">
        <v>23966.024198987576</v>
      </c>
      <c r="BI180" s="25">
        <v>23975.988685345608</v>
      </c>
      <c r="BJ180" s="25">
        <v>23985.95909348852</v>
      </c>
      <c r="BK180" s="25">
        <v>23995.935157801723</v>
      </c>
      <c r="BL180" s="25">
        <v>24005.916623680998</v>
      </c>
      <c r="BM180" s="25">
        <v>24015.90324797331</v>
      </c>
      <c r="BN180" s="25">
        <v>24025.894799362788</v>
      </c>
      <c r="BO180" s="25">
        <v>24035.891058696161</v>
      </c>
      <c r="BP180" s="25">
        <v>24045.891819242646</v>
      </c>
      <c r="BQ180" s="25">
        <v>24055.896886883569</v>
      </c>
      <c r="BR180" s="25">
        <v>24065.906080227727</v>
      </c>
      <c r="BS180" s="25">
        <v>24075.919230649077</v>
      </c>
      <c r="BT180" s="25">
        <v>24085.936182244481</v>
      </c>
      <c r="BU180" s="25">
        <v>24095.95679170997</v>
      </c>
      <c r="BV180" s="25">
        <v>24105.980928135399</v>
      </c>
      <c r="BW180" s="25">
        <v>24116.008472718382</v>
      </c>
      <c r="BX180" s="25">
        <v>24126.039318400046</v>
      </c>
      <c r="BY180" s="25">
        <v>24136.073369426205</v>
      </c>
      <c r="BZ180" s="25">
        <v>24146.110540839367</v>
      </c>
      <c r="CA180" s="25">
        <v>24156.15075790813</v>
      </c>
      <c r="CB180" s="25">
        <v>24166.193955502062</v>
      </c>
      <c r="CC180" s="25">
        <v>24176.240077421346</v>
      </c>
      <c r="CD180" s="25">
        <v>24186.28907569169</v>
      </c>
      <c r="CE180" s="25">
        <v>24196.340909835624</v>
      </c>
      <c r="CF180" s="25">
        <v>24206.395546132233</v>
      </c>
      <c r="CG180" s="25">
        <v>24216.452956877252</v>
      </c>
      <c r="CH180" s="25">
        <v>24226.513119655716</v>
      </c>
      <c r="CI180" s="25">
        <v>24236.576016638592</v>
      </c>
      <c r="CJ180" s="25">
        <v>24246.641633914016</v>
      </c>
      <c r="CK180" s="25">
        <v>24256.709960862492</v>
      </c>
      <c r="CL180" s="25">
        <v>24266.780989583749</v>
      </c>
      <c r="CM180" s="25">
        <v>24276.854714381047</v>
      </c>
      <c r="CN180" s="25">
        <v>24286.931131306606</v>
      </c>
      <c r="CO180" s="25">
        <v>24297.010237769609</v>
      </c>
      <c r="CP180" s="25">
        <v>24307.092032206147</v>
      </c>
      <c r="CQ180" s="25">
        <v>24317.176513808346</v>
      </c>
      <c r="CR180" s="25">
        <v>24327.263682308243</v>
      </c>
      <c r="CS180" s="25">
        <v>24337.353537810584</v>
      </c>
      <c r="CT180" s="25">
        <v>24347.446080667814</v>
      </c>
      <c r="CU180" s="25">
        <v>24357.541311390149</v>
      </c>
      <c r="CV180" s="25">
        <v>24367.639230583518</v>
      </c>
      <c r="CW180" s="25">
        <v>24377.739838908881</v>
      </c>
      <c r="CX180" s="25">
        <v>24387.843137056829</v>
      </c>
      <c r="CY180" s="25">
        <v>24397.949125732855</v>
      </c>
      <c r="CZ180" s="25">
        <v>24408.05780564935</v>
      </c>
      <c r="DA180" s="25">
        <v>24418.169177521631</v>
      </c>
      <c r="DB180" s="25">
        <v>24428.283242066187</v>
      </c>
      <c r="DC180" s="44">
        <f t="shared" si="32"/>
        <v>24438.399999999998</v>
      </c>
      <c r="DD180" s="5">
        <f t="shared" si="40"/>
        <v>12</v>
      </c>
      <c r="DE180" s="30" cm="1">
        <f t="array" ref="DE180">1/2*(rf-q)*DD180*dt-1/2*(sigma^2)*(DD180^2)*dt</f>
        <v>-0.10776417534246573</v>
      </c>
      <c r="DF180" s="25">
        <f t="shared" si="36"/>
        <v>1.2189902684931506</v>
      </c>
      <c r="DG180" s="6">
        <f t="shared" si="37"/>
        <v>-0.1109597917808219</v>
      </c>
      <c r="DH180" s="5">
        <f t="shared" si="39"/>
        <v>-502.23091865309834</v>
      </c>
      <c r="DI180" s="6">
        <v>23926.231140441225</v>
      </c>
    </row>
    <row r="181" spans="26:113" x14ac:dyDescent="0.25">
      <c r="AD181" s="16">
        <f>(AE180*$C$15+AE182*(1-$C$15))*EXP(-$C$9*$C$13)</f>
        <v>25528.585407449653</v>
      </c>
      <c r="AE181" s="15">
        <f>AD180*$C$14</f>
        <v>11837.28719985403</v>
      </c>
      <c r="AF181" s="16">
        <f>(AG180*$C$15+AG182*(1-$C$15))*EXP(-$C$9*$C$13)</f>
        <v>25542.185623413636</v>
      </c>
      <c r="AG181" s="15">
        <f>AF182/$C$14</f>
        <v>11837.28719985403</v>
      </c>
      <c r="AH181" s="16">
        <f>(AI180*$C$15+AI182*(1-$C$15))*EXP(-$C$9*$C$13)</f>
        <v>25555.793084819205</v>
      </c>
      <c r="AI181" s="15">
        <f>AH182/$C$14</f>
        <v>11837.28719985403</v>
      </c>
      <c r="AJ181" s="16">
        <f>(AK180*$C$15+AK182*(1-$C$15))*EXP(-$C$9*$C$13)</f>
        <v>25569.407795526327</v>
      </c>
      <c r="AK181" s="15">
        <f>AJ182/$C$14</f>
        <v>11837.28719985403</v>
      </c>
      <c r="AL181" s="16">
        <f>(AM180*$C$15+AM182*(1-$C$15))*EXP(-$C$9*$C$13)</f>
        <v>25583.029759397028</v>
      </c>
      <c r="AM181" s="15">
        <f>AL182/$C$14</f>
        <v>11837.28719985403</v>
      </c>
      <c r="AN181" s="16">
        <f>(AO180*$C$15+AO182*(1-$C$15))*EXP(-$C$9*$C$13)</f>
        <v>25596.658980295389</v>
      </c>
      <c r="AO181" s="15">
        <f>AN182/$C$14</f>
        <v>11837.28719985403</v>
      </c>
      <c r="AP181" s="16">
        <f>(AQ180*$C$15+AQ182*(1-$C$15))*EXP(-$C$9*$C$13)</f>
        <v>25610.295462087561</v>
      </c>
      <c r="AQ181" s="15">
        <f>AP182/$C$14</f>
        <v>11837.28719985403</v>
      </c>
      <c r="AR181" s="16">
        <f>(AS180*$C$15+AS182*(1-$C$15))*EXP(-$C$9*$C$13)</f>
        <v>25623.939208641732</v>
      </c>
      <c r="AS181" s="15">
        <f>AR182/$C$14</f>
        <v>11837.28719985403</v>
      </c>
      <c r="AT181" s="16">
        <f>(AU180*$C$15+AU182*(1-$C$15))*EXP(-$C$9*$C$13)</f>
        <v>25637.590223828178</v>
      </c>
      <c r="AU181" s="15">
        <f>AT182/$C$14</f>
        <v>11837.28719985403</v>
      </c>
      <c r="AV181" s="16">
        <f>(AW180*$C$15+AW182*(1-$C$15))*EXP(-$C$9*$C$13)</f>
        <v>25651.248511519218</v>
      </c>
      <c r="AW181" s="15">
        <f>AV182/$C$14</f>
        <v>11837.28719985403</v>
      </c>
      <c r="AX181" s="16">
        <f>(AY180*$C$15+AY182*(1-$C$15))*EXP(-$C$9*$C$13)</f>
        <v>25664.91407558924</v>
      </c>
      <c r="AY181" s="15">
        <f>AX182/$C$14</f>
        <v>11837.28719985403</v>
      </c>
      <c r="AZ181" s="16">
        <f>(BA180*$C$15+BA182*(1-$C$15))*EXP(-$C$9*$C$13)</f>
        <v>25678.586919914698</v>
      </c>
      <c r="BA181" s="15">
        <f>AZ182/$C$14</f>
        <v>11837.28719985403</v>
      </c>
      <c r="BB181" s="16">
        <f>MAX(0,$C$8-BB180)</f>
        <v>25692.267048374102</v>
      </c>
      <c r="BD181" s="23">
        <f t="shared" si="38"/>
        <v>12431.466666666762</v>
      </c>
      <c r="BE181" s="25">
        <v>25066.081604272356</v>
      </c>
      <c r="BF181" s="25">
        <v>25076.053290673284</v>
      </c>
      <c r="BG181" s="25">
        <v>25086.029232990084</v>
      </c>
      <c r="BH181" s="25">
        <v>25096.009293443531</v>
      </c>
      <c r="BI181" s="25">
        <v>25105.993341300466</v>
      </c>
      <c r="BJ181" s="25">
        <v>25115.98125295038</v>
      </c>
      <c r="BK181" s="25">
        <v>25125.972911950339</v>
      </c>
      <c r="BL181" s="25">
        <v>25135.968209037215</v>
      </c>
      <c r="BM181" s="25">
        <v>25145.967042106324</v>
      </c>
      <c r="BN181" s="25">
        <v>25155.96931615597</v>
      </c>
      <c r="BO181" s="25">
        <v>25165.974943197682</v>
      </c>
      <c r="BP181" s="25">
        <v>25175.983842132478</v>
      </c>
      <c r="BQ181" s="25">
        <v>25185.995938593656</v>
      </c>
      <c r="BR181" s="25">
        <v>25196.011164757285</v>
      </c>
      <c r="BS181" s="25">
        <v>25206.029459121841</v>
      </c>
      <c r="BT181" s="25">
        <v>25216.050766259086</v>
      </c>
      <c r="BU181" s="25">
        <v>25226.075036538517</v>
      </c>
      <c r="BV181" s="25">
        <v>25236.102225828308</v>
      </c>
      <c r="BW181" s="25">
        <v>25246.132295176089</v>
      </c>
      <c r="BX181" s="25">
        <v>25256.165210473053</v>
      </c>
      <c r="BY181" s="25">
        <v>25266.200942105566</v>
      </c>
      <c r="BZ181" s="25">
        <v>25276.239464598308</v>
      </c>
      <c r="CA181" s="25">
        <v>25286.280756253414</v>
      </c>
      <c r="CB181" s="25">
        <v>25296.324798790025</v>
      </c>
      <c r="CC181" s="25">
        <v>25306.371576988637</v>
      </c>
      <c r="CD181" s="25">
        <v>25316.421078344483</v>
      </c>
      <c r="CE181" s="25">
        <v>25326.473292734081</v>
      </c>
      <c r="CF181" s="25">
        <v>25336.528212098376</v>
      </c>
      <c r="CG181" s="25">
        <v>25346.585830145843</v>
      </c>
      <c r="CH181" s="25">
        <v>25356.646142078109</v>
      </c>
      <c r="CI181" s="25">
        <v>25366.709144340039</v>
      </c>
      <c r="CJ181" s="25">
        <v>25376.774834395655</v>
      </c>
      <c r="CK181" s="25">
        <v>25386.843210530566</v>
      </c>
      <c r="CL181" s="25">
        <v>25396.914271680653</v>
      </c>
      <c r="CM181" s="25">
        <v>25406.988017286425</v>
      </c>
      <c r="CN181" s="25">
        <v>25417.06444717164</v>
      </c>
      <c r="CO181" s="25">
        <v>25427.143561444351</v>
      </c>
      <c r="CP181" s="25">
        <v>25437.225360418106</v>
      </c>
      <c r="CQ181" s="25">
        <v>25447.309844550844</v>
      </c>
      <c r="CR181" s="25">
        <v>25457.397014398837</v>
      </c>
      <c r="CS181" s="25">
        <v>25467.486870583019</v>
      </c>
      <c r="CT181" s="25">
        <v>25477.579413765256</v>
      </c>
      <c r="CU181" s="25">
        <v>25487.674644632236</v>
      </c>
      <c r="CV181" s="25">
        <v>25497.772563885013</v>
      </c>
      <c r="CW181" s="25">
        <v>25507.873172232503</v>
      </c>
      <c r="CX181" s="25">
        <v>25517.976470387744</v>
      </c>
      <c r="CY181" s="25">
        <v>25528.082459065794</v>
      </c>
      <c r="CZ181" s="25">
        <v>25538.191138982704</v>
      </c>
      <c r="DA181" s="25">
        <v>25548.30251085501</v>
      </c>
      <c r="DB181" s="25">
        <v>25558.416575399533</v>
      </c>
      <c r="DC181" s="44">
        <f t="shared" si="32"/>
        <v>25568.533333333333</v>
      </c>
      <c r="DD181" s="5">
        <f t="shared" si="40"/>
        <v>11</v>
      </c>
      <c r="DE181" s="30" cm="1">
        <f t="array" ref="DE181">1/2*(rf-q)*DD181*dt-1/2*(sigma^2)*(DD181^2)*dt</f>
        <v>-9.0429786986301358E-2</v>
      </c>
      <c r="DF181" s="25">
        <f t="shared" si="36"/>
        <v>1.1840551904109589</v>
      </c>
      <c r="DG181" s="6">
        <f t="shared" si="37"/>
        <v>-9.3359102054794488E-2</v>
      </c>
      <c r="DH181" s="5">
        <f t="shared" si="39"/>
        <v>-502.45172904680294</v>
      </c>
      <c r="DI181" s="6">
        <v>25056.114318505857</v>
      </c>
    </row>
    <row r="182" spans="26:113" x14ac:dyDescent="0.25">
      <c r="AE182" s="16">
        <f>(AF181*$C$15+AF183*(1-$C$15))*EXP(-$C$9*$C$13)</f>
        <v>26002.957720104438</v>
      </c>
      <c r="AF182" s="15">
        <f>AE181*$C$14</f>
        <v>11384.823574134951</v>
      </c>
      <c r="AG182" s="16">
        <f>(AH181*$C$15+AH183*(1-$C$15))*EXP(-$C$9*$C$13)</f>
        <v>26016.810655355312</v>
      </c>
      <c r="AH182" s="15">
        <f>AG183/$C$14</f>
        <v>11384.823574134951</v>
      </c>
      <c r="AI182" s="16">
        <f>(AJ181*$C$15+AJ183*(1-$C$15))*EXP(-$C$9*$C$13)</f>
        <v>26030.670970682604</v>
      </c>
      <c r="AJ182" s="15">
        <f>AI183/$C$14</f>
        <v>11384.823574134951</v>
      </c>
      <c r="AK182" s="16">
        <f>(AL181*$C$15+AL183*(1-$C$15))*EXP(-$C$9*$C$13)</f>
        <v>26044.538670018006</v>
      </c>
      <c r="AL182" s="15">
        <f>AK183/$C$14</f>
        <v>11384.823574134951</v>
      </c>
      <c r="AM182" s="16">
        <f>(AN181*$C$15+AN183*(1-$C$15))*EXP(-$C$9*$C$13)</f>
        <v>26058.413757295319</v>
      </c>
      <c r="AN182" s="15">
        <f>AM183/$C$14</f>
        <v>11384.823574134951</v>
      </c>
      <c r="AO182" s="16">
        <f>(AP181*$C$15+AP183*(1-$C$15))*EXP(-$C$9*$C$13)</f>
        <v>26072.296236450416</v>
      </c>
      <c r="AP182" s="15">
        <f>AO183/$C$14</f>
        <v>11384.823574134951</v>
      </c>
      <c r="AQ182" s="16">
        <f>(AR181*$C$15+AR183*(1-$C$15))*EXP(-$C$9*$C$13)</f>
        <v>26086.186111421288</v>
      </c>
      <c r="AR182" s="15">
        <f>AQ183/$C$14</f>
        <v>11384.823574134951</v>
      </c>
      <c r="AS182" s="16">
        <f>(AT181*$C$15+AT183*(1-$C$15))*EXP(-$C$9*$C$13)</f>
        <v>26100.083386148013</v>
      </c>
      <c r="AT182" s="15">
        <f>AS183/$C$14</f>
        <v>11384.823574134951</v>
      </c>
      <c r="AU182" s="16">
        <f>(AV181*$C$15+AV183*(1-$C$15))*EXP(-$C$9*$C$13)</f>
        <v>26113.988064572775</v>
      </c>
      <c r="AV182" s="15">
        <f>AU183/$C$14</f>
        <v>11384.823574134951</v>
      </c>
      <c r="AW182" s="16">
        <f>(AX181*$C$15+AX183*(1-$C$15))*EXP(-$C$9*$C$13)</f>
        <v>26127.900150639853</v>
      </c>
      <c r="AX182" s="15">
        <f>AW183/$C$14</f>
        <v>11384.823574134951</v>
      </c>
      <c r="AY182" s="16">
        <f>(AZ181*$C$15+AZ183*(1-$C$15))*EXP(-$C$9*$C$13)</f>
        <v>26141.819648295626</v>
      </c>
      <c r="AZ182" s="15">
        <f>AY183/$C$14</f>
        <v>11384.823574134951</v>
      </c>
      <c r="BA182" s="16">
        <f>(BB181*$C$15+BB183*(1-$C$15))*EXP(-$C$9*$C$13)</f>
        <v>26155.746561488577</v>
      </c>
      <c r="BB182" s="15">
        <f>BA183/$C$14</f>
        <v>11384.823574134951</v>
      </c>
      <c r="BD182" s="23">
        <f t="shared" si="38"/>
        <v>11301.333333333429</v>
      </c>
      <c r="BE182" s="25">
        <v>26196.141371092253</v>
      </c>
      <c r="BF182" s="25">
        <v>26206.122884555945</v>
      </c>
      <c r="BG182" s="25">
        <v>26216.107584661284</v>
      </c>
      <c r="BH182" s="25">
        <v>26226.09541817354</v>
      </c>
      <c r="BI182" s="25">
        <v>26236.086335632099</v>
      </c>
      <c r="BJ182" s="25">
        <v>26246.080291266142</v>
      </c>
      <c r="BK182" s="25">
        <v>26256.077242897227</v>
      </c>
      <c r="BL182" s="25">
        <v>26266.077151829428</v>
      </c>
      <c r="BM182" s="25">
        <v>26276.079982727802</v>
      </c>
      <c r="BN182" s="25">
        <v>26286.085703486078</v>
      </c>
      <c r="BO182" s="25">
        <v>26296.094285084488</v>
      </c>
      <c r="BP182" s="25">
        <v>26306.10570143901</v>
      </c>
      <c r="BQ182" s="25">
        <v>26316.119929243258</v>
      </c>
      <c r="BR182" s="25">
        <v>26326.136947804331</v>
      </c>
      <c r="BS182" s="25">
        <v>26336.156738874139</v>
      </c>
      <c r="BT182" s="25">
        <v>26346.179286477694</v>
      </c>
      <c r="BU182" s="25">
        <v>26356.204576740001</v>
      </c>
      <c r="BV182" s="25">
        <v>26366.232597712984</v>
      </c>
      <c r="BW182" s="25">
        <v>26376.263339204215</v>
      </c>
      <c r="BX182" s="25">
        <v>26386.296792608835</v>
      </c>
      <c r="BY182" s="25">
        <v>26396.332950746244</v>
      </c>
      <c r="BZ182" s="25">
        <v>26406.371807702832</v>
      </c>
      <c r="CA182" s="25">
        <v>26416.413358682086</v>
      </c>
      <c r="CB182" s="25">
        <v>26426.457599863184</v>
      </c>
      <c r="CC182" s="25">
        <v>26436.504528268877</v>
      </c>
      <c r="CD182" s="25">
        <v>26446.554141643541</v>
      </c>
      <c r="CE182" s="25">
        <v>26456.606438341794</v>
      </c>
      <c r="CF182" s="25">
        <v>26466.661417228075</v>
      </c>
      <c r="CG182" s="25">
        <v>26476.719077587175</v>
      </c>
      <c r="CH182" s="25">
        <v>26486.779419045652</v>
      </c>
      <c r="CI182" s="25">
        <v>26496.842441503795</v>
      </c>
      <c r="CJ182" s="25">
        <v>26506.908145077603</v>
      </c>
      <c r="CK182" s="25">
        <v>26516.976530050106</v>
      </c>
      <c r="CL182" s="25">
        <v>26527.047596831257</v>
      </c>
      <c r="CM182" s="25">
        <v>26537.121345925501</v>
      </c>
      <c r="CN182" s="25">
        <v>26547.19777790608</v>
      </c>
      <c r="CO182" s="25">
        <v>26557.276893395159</v>
      </c>
      <c r="CP182" s="25">
        <v>26567.358693048736</v>
      </c>
      <c r="CQ182" s="25">
        <v>26577.443177545632</v>
      </c>
      <c r="CR182" s="25">
        <v>26587.530347579515</v>
      </c>
      <c r="CS182" s="25">
        <v>26597.620203853447</v>
      </c>
      <c r="CT182" s="25">
        <v>26607.712747076221</v>
      </c>
      <c r="CU182" s="25">
        <v>26617.807977960001</v>
      </c>
      <c r="CV182" s="25">
        <v>26627.90589721888</v>
      </c>
      <c r="CW182" s="25">
        <v>26638.006505568042</v>
      </c>
      <c r="CX182" s="25">
        <v>26648.10980372331</v>
      </c>
      <c r="CY182" s="25">
        <v>26658.215792400868</v>
      </c>
      <c r="CZ182" s="25">
        <v>26668.324472317199</v>
      </c>
      <c r="DA182" s="25">
        <v>26678.435844188974</v>
      </c>
      <c r="DB182" s="25">
        <v>26688.549908733086</v>
      </c>
      <c r="DC182" s="44">
        <f t="shared" si="32"/>
        <v>26698.666666666664</v>
      </c>
      <c r="DD182" s="5">
        <f t="shared" si="40"/>
        <v>10</v>
      </c>
      <c r="DE182" s="30" cm="1">
        <f t="array" ref="DE182">1/2*(rf-q)*DD182*dt-1/2*(sigma^2)*(DD182^2)*dt</f>
        <v>-7.4614315068493142E-2</v>
      </c>
      <c r="DF182" s="25">
        <f t="shared" si="36"/>
        <v>1.1521579452054793</v>
      </c>
      <c r="DG182" s="6">
        <f t="shared" si="37"/>
        <v>-7.7277328767123288E-2</v>
      </c>
      <c r="DH182" s="5">
        <f t="shared" si="39"/>
        <v>-502.52529556025547</v>
      </c>
      <c r="DI182" s="6">
        <v>26186.163101349946</v>
      </c>
    </row>
    <row r="183" spans="26:113" x14ac:dyDescent="0.25">
      <c r="AF183" s="16">
        <f>(AG182*$C$15+AG184*(1-$C$15))*EXP(-$C$9*$C$13)</f>
        <v>26459.703824087748</v>
      </c>
      <c r="AG183" s="15">
        <f>AF182*$C$14</f>
        <v>10949.65473303522</v>
      </c>
      <c r="AH183" s="16">
        <f>(AI182*$C$15+AI184*(1-$C$15))*EXP(-$C$9*$C$13)</f>
        <v>26473.800088358061</v>
      </c>
      <c r="AI183" s="15">
        <f>AH184/$C$14</f>
        <v>10949.65473303522</v>
      </c>
      <c r="AJ183" s="16">
        <f>(AK182*$C$15+AK184*(1-$C$15))*EXP(-$C$9*$C$13)</f>
        <v>26487.903862337011</v>
      </c>
      <c r="AK183" s="15">
        <f>AJ184/$C$14</f>
        <v>10949.65473303522</v>
      </c>
      <c r="AL183" s="16">
        <f>(AM182*$C$15+AM184*(1-$C$15))*EXP(-$C$9*$C$13)</f>
        <v>26502.01515002536</v>
      </c>
      <c r="AM183" s="15">
        <f>AL184/$C$14</f>
        <v>10949.65473303522</v>
      </c>
      <c r="AN183" s="16">
        <f>(AO182*$C$15+AO184*(1-$C$15))*EXP(-$C$9*$C$13)</f>
        <v>26516.133955425987</v>
      </c>
      <c r="AO183" s="15">
        <f>AN184/$C$14</f>
        <v>10949.65473303522</v>
      </c>
      <c r="AP183" s="16">
        <f>(AQ182*$C$15+AQ184*(1-$C$15))*EXP(-$C$9*$C$13)</f>
        <v>26530.260282543921</v>
      </c>
      <c r="AQ183" s="15">
        <f>AP184/$C$14</f>
        <v>10949.65473303522</v>
      </c>
      <c r="AR183" s="16">
        <f>(AS182*$C$15+AS184*(1-$C$15))*EXP(-$C$9*$C$13)</f>
        <v>26544.394135386316</v>
      </c>
      <c r="AS183" s="15">
        <f>AR184/$C$14</f>
        <v>10949.65473303522</v>
      </c>
      <c r="AT183" s="16">
        <f>(AU182*$C$15+AU184*(1-$C$15))*EXP(-$C$9*$C$13)</f>
        <v>26558.535517962453</v>
      </c>
      <c r="AU183" s="15">
        <f>AT184/$C$14</f>
        <v>10949.65473303522</v>
      </c>
      <c r="AV183" s="16">
        <f>(AW182*$C$15+AW184*(1-$C$15))*EXP(-$C$9*$C$13)</f>
        <v>26572.684434283768</v>
      </c>
      <c r="AW183" s="15">
        <f>AV184/$C$14</f>
        <v>10949.65473303522</v>
      </c>
      <c r="AX183" s="16">
        <f>(AY182*$C$15+AY184*(1-$C$15))*EXP(-$C$9*$C$13)</f>
        <v>26586.840888363815</v>
      </c>
      <c r="AY183" s="15">
        <f>AX184/$C$14</f>
        <v>10949.65473303522</v>
      </c>
      <c r="AZ183" s="16">
        <f>(BA182*$C$15+BA184*(1-$C$15))*EXP(-$C$9*$C$13)</f>
        <v>26601.004884218299</v>
      </c>
      <c r="BA183" s="15">
        <f>AZ184/$C$14</f>
        <v>10949.65473303522</v>
      </c>
      <c r="BB183" s="16">
        <f>MAX(0,$C$8-BB182)</f>
        <v>26615.176425865051</v>
      </c>
      <c r="BD183" s="23">
        <f t="shared" si="38"/>
        <v>10171.200000000095</v>
      </c>
      <c r="BE183" s="25">
        <v>27326.253667962181</v>
      </c>
      <c r="BF183" s="25">
        <v>27336.238275446183</v>
      </c>
      <c r="BG183" s="25">
        <v>27346.225686973605</v>
      </c>
      <c r="BH183" s="25">
        <v>27356.215886099661</v>
      </c>
      <c r="BI183" s="25">
        <v>27366.208857909041</v>
      </c>
      <c r="BJ183" s="25">
        <v>27376.204588939469</v>
      </c>
      <c r="BK183" s="25">
        <v>27386.203067103226</v>
      </c>
      <c r="BL183" s="25">
        <v>27396.204281607221</v>
      </c>
      <c r="BM183" s="25">
        <v>27406.208222872076</v>
      </c>
      <c r="BN183" s="25">
        <v>27416.214882450793</v>
      </c>
      <c r="BO183" s="25">
        <v>27426.224252947628</v>
      </c>
      <c r="BP183" s="25">
        <v>27436.23632793756</v>
      </c>
      <c r="BQ183" s="25">
        <v>27446.251101887046</v>
      </c>
      <c r="BR183" s="25">
        <v>27456.268570076503</v>
      </c>
      <c r="BS183" s="25">
        <v>27466.288728525</v>
      </c>
      <c r="BT183" s="25">
        <v>27476.311573917661</v>
      </c>
      <c r="BU183" s="25">
        <v>27486.33710353616</v>
      </c>
      <c r="BV183" s="25">
        <v>27496.365315192699</v>
      </c>
      <c r="BW183" s="25">
        <v>27506.396207167767</v>
      </c>
      <c r="BX183" s="25">
        <v>27516.42977815196</v>
      </c>
      <c r="BY183" s="25">
        <v>27526.466027192037</v>
      </c>
      <c r="BZ183" s="25">
        <v>27536.504953641357</v>
      </c>
      <c r="CA183" s="25">
        <v>27546.54655711474</v>
      </c>
      <c r="CB183" s="25">
        <v>27556.590837447799</v>
      </c>
      <c r="CC183" s="25">
        <v>27566.637794660604</v>
      </c>
      <c r="CD183" s="25">
        <v>27576.687428925638</v>
      </c>
      <c r="CE183" s="25">
        <v>27586.739740539819</v>
      </c>
      <c r="CF183" s="25">
        <v>27596.79472990039</v>
      </c>
      <c r="CG183" s="25">
        <v>27606.852397484337</v>
      </c>
      <c r="CH183" s="25">
        <v>27616.912743831188</v>
      </c>
      <c r="CI183" s="25">
        <v>27626.975769528708</v>
      </c>
      <c r="CJ183" s="25">
        <v>27637.041475201302</v>
      </c>
      <c r="CK183" s="25">
        <v>27647.109861500674</v>
      </c>
      <c r="CL183" s="25">
        <v>27657.180929098518</v>
      </c>
      <c r="CM183" s="25">
        <v>27667.25467868086</v>
      </c>
      <c r="CN183" s="25">
        <v>27677.331110943778</v>
      </c>
      <c r="CO183" s="25">
        <v>27687.410226590266</v>
      </c>
      <c r="CP183" s="25">
        <v>27697.492026327949</v>
      </c>
      <c r="CQ183" s="25">
        <v>27707.576510867511</v>
      </c>
      <c r="CR183" s="25">
        <v>27717.663680921578</v>
      </c>
      <c r="CS183" s="25">
        <v>27727.753537204033</v>
      </c>
      <c r="CT183" s="25">
        <v>27737.846080429565</v>
      </c>
      <c r="CU183" s="25">
        <v>27747.941311313378</v>
      </c>
      <c r="CV183" s="25">
        <v>27758.039230571041</v>
      </c>
      <c r="CW183" s="25">
        <v>27768.1398389184</v>
      </c>
      <c r="CX183" s="25">
        <v>27778.243137071528</v>
      </c>
      <c r="CY183" s="25">
        <v>27788.349125746692</v>
      </c>
      <c r="CZ183" s="25">
        <v>27798.457805660368</v>
      </c>
      <c r="DA183" s="25">
        <v>27808.569177529214</v>
      </c>
      <c r="DB183" s="25">
        <v>27818.683242070078</v>
      </c>
      <c r="DC183" s="44">
        <f t="shared" si="32"/>
        <v>27828.799999999999</v>
      </c>
      <c r="DD183" s="5">
        <f t="shared" si="40"/>
        <v>9</v>
      </c>
      <c r="DE183" s="30" cm="1">
        <f t="array" ref="DE183">1/2*(rf-q)*DD183*dt-1/2*(sigma^2)*(DD183^2)*dt</f>
        <v>-6.0317759589041085E-2</v>
      </c>
      <c r="DF183" s="25">
        <f t="shared" si="36"/>
        <v>1.1232985328767122</v>
      </c>
      <c r="DG183" s="6">
        <f t="shared" si="37"/>
        <v>-6.2714471917808212E-2</v>
      </c>
      <c r="DH183" s="5">
        <f t="shared" si="39"/>
        <v>-502.54633201952674</v>
      </c>
      <c r="DI183" s="6">
        <v>27316.271882569796</v>
      </c>
    </row>
    <row r="184" spans="26:113" x14ac:dyDescent="0.25">
      <c r="AG184" s="16">
        <f>(AH183*$C$15+AH185*(1-$C$15))*EXP(-$C$9*$C$13)</f>
        <v>26899.493043729126</v>
      </c>
      <c r="AH184" s="15">
        <f>AG183*$C$14</f>
        <v>10531.119607779301</v>
      </c>
      <c r="AI184" s="16">
        <f>(AJ183*$C$15+AJ185*(1-$C$15))*EXP(-$C$9*$C$13)</f>
        <v>26913.823603330347</v>
      </c>
      <c r="AJ184" s="15">
        <f>AI185/$C$14</f>
        <v>10531.119607779301</v>
      </c>
      <c r="AK184" s="16">
        <f>(AL183*$C$15+AL185*(1-$C$15))*EXP(-$C$9*$C$13)</f>
        <v>26928.161797459779</v>
      </c>
      <c r="AL184" s="15">
        <f>AK185/$C$14</f>
        <v>10531.119607779301</v>
      </c>
      <c r="AM184" s="16">
        <f>(AN183*$C$15+AN185*(1-$C$15))*EXP(-$C$9*$C$13)</f>
        <v>26942.507630184678</v>
      </c>
      <c r="AN184" s="15">
        <f>AM185/$C$14</f>
        <v>10531.119607779301</v>
      </c>
      <c r="AO184" s="16">
        <f>(AP183*$C$15+AP185*(1-$C$15))*EXP(-$C$9*$C$13)</f>
        <v>26956.861105574466</v>
      </c>
      <c r="AP184" s="15">
        <f>AO185/$C$14</f>
        <v>10531.119607779301</v>
      </c>
      <c r="AQ184" s="16">
        <f>(AR183*$C$15+AR185*(1-$C$15))*EXP(-$C$9*$C$13)</f>
        <v>26971.222227700724</v>
      </c>
      <c r="AR184" s="15">
        <f>AQ185/$C$14</f>
        <v>10531.119607779301</v>
      </c>
      <c r="AS184" s="16">
        <f>(AT183*$C$15+AT185*(1-$C$15))*EXP(-$C$9*$C$13)</f>
        <v>26985.591000637211</v>
      </c>
      <c r="AT184" s="15">
        <f>AS185/$C$14</f>
        <v>10531.119607779301</v>
      </c>
      <c r="AU184" s="16">
        <f>(AV183*$C$15+AV185*(1-$C$15))*EXP(-$C$9*$C$13)</f>
        <v>26999.967428459859</v>
      </c>
      <c r="AV184" s="15">
        <f>AU185/$C$14</f>
        <v>10531.119607779301</v>
      </c>
      <c r="AW184" s="16">
        <f>(AX183*$C$15+AX185*(1-$C$15))*EXP(-$C$9*$C$13)</f>
        <v>27014.351515246759</v>
      </c>
      <c r="AX184" s="15">
        <f>AW185/$C$14</f>
        <v>10531.119607779301</v>
      </c>
      <c r="AY184" s="16">
        <f>(AZ183*$C$15+AZ185*(1-$C$15))*EXP(-$C$9*$C$13)</f>
        <v>27028.743265078196</v>
      </c>
      <c r="AZ184" s="15">
        <f>AY185/$C$14</f>
        <v>10531.119607779301</v>
      </c>
      <c r="BA184" s="16">
        <f>(BB183*$C$15+BB185*(1-$C$15))*EXP(-$C$9*$C$13)</f>
        <v>27043.142682036603</v>
      </c>
      <c r="BB184" s="15">
        <f>BA185/$C$14</f>
        <v>10531.119607779301</v>
      </c>
      <c r="BD184" s="23">
        <f t="shared" si="38"/>
        <v>9041.0666666667621</v>
      </c>
      <c r="BE184" s="25">
        <v>28456.381969363854</v>
      </c>
      <c r="BF184" s="25">
        <v>28466.36738773805</v>
      </c>
      <c r="BG184" s="25">
        <v>28476.35549737059</v>
      </c>
      <c r="BH184" s="25">
        <v>28486.346294638901</v>
      </c>
      <c r="BI184" s="25">
        <v>28496.339776390247</v>
      </c>
      <c r="BJ184" s="25">
        <v>28506.335939906479</v>
      </c>
      <c r="BK184" s="25">
        <v>28516.334782869606</v>
      </c>
      <c r="BL184" s="25">
        <v>28526.336303328419</v>
      </c>
      <c r="BM184" s="25">
        <v>28536.340499666294</v>
      </c>
      <c r="BN184" s="25">
        <v>28546.347370570205</v>
      </c>
      <c r="BO184" s="25">
        <v>28556.356915001204</v>
      </c>
      <c r="BP184" s="25">
        <v>28566.369132166386</v>
      </c>
      <c r="BQ184" s="25">
        <v>28576.384021492435</v>
      </c>
      <c r="BR184" s="25">
        <v>28586.401582600829</v>
      </c>
      <c r="BS184" s="25">
        <v>28596.421815284732</v>
      </c>
      <c r="BT184" s="25">
        <v>28606.444719487619</v>
      </c>
      <c r="BU184" s="25">
        <v>28616.470295283631</v>
      </c>
      <c r="BV184" s="25">
        <v>28626.498542859652</v>
      </c>
      <c r="BW184" s="25">
        <v>28636.529462499111</v>
      </c>
      <c r="BX184" s="25">
        <v>28646.563054567378</v>
      </c>
      <c r="BY184" s="25">
        <v>28656.599319498822</v>
      </c>
      <c r="BZ184" s="25">
        <v>28666.638257785355</v>
      </c>
      <c r="CA184" s="25">
        <v>28676.679869966414</v>
      </c>
      <c r="CB184" s="25">
        <v>28686.724156620297</v>
      </c>
      <c r="CC184" s="25">
        <v>28696.771118356733</v>
      </c>
      <c r="CD184" s="25">
        <v>28706.820755810582</v>
      </c>
      <c r="CE184" s="25">
        <v>28716.87306963656</v>
      </c>
      <c r="CF184" s="25">
        <v>28726.928060504881</v>
      </c>
      <c r="CG184" s="25">
        <v>28736.985729097665</v>
      </c>
      <c r="CH184" s="25">
        <v>28747.046076106115</v>
      </c>
      <c r="CI184" s="25">
        <v>28757.109102228183</v>
      </c>
      <c r="CJ184" s="25">
        <v>28767.174808166834</v>
      </c>
      <c r="CK184" s="25">
        <v>28777.243194628674</v>
      </c>
      <c r="CL184" s="25">
        <v>28787.314262322907</v>
      </c>
      <c r="CM184" s="25">
        <v>28797.388011960586</v>
      </c>
      <c r="CN184" s="25">
        <v>28807.464444254085</v>
      </c>
      <c r="CO184" s="25">
        <v>28817.543559916685</v>
      </c>
      <c r="CP184" s="25">
        <v>28827.625359662314</v>
      </c>
      <c r="CQ184" s="25">
        <v>28837.709844205379</v>
      </c>
      <c r="CR184" s="25">
        <v>28847.797014260635</v>
      </c>
      <c r="CS184" s="25">
        <v>28857.886870543149</v>
      </c>
      <c r="CT184" s="25">
        <v>28867.979413768204</v>
      </c>
      <c r="CU184" s="25">
        <v>28878.074644651319</v>
      </c>
      <c r="CV184" s="25">
        <v>28888.172563908211</v>
      </c>
      <c r="CW184" s="25">
        <v>28898.273172254798</v>
      </c>
      <c r="CX184" s="25">
        <v>28908.37647040718</v>
      </c>
      <c r="CY184" s="25">
        <v>28918.482459081668</v>
      </c>
      <c r="CZ184" s="25">
        <v>28928.591138994751</v>
      </c>
      <c r="DA184" s="25">
        <v>28938.702510863106</v>
      </c>
      <c r="DB184" s="25">
        <v>28948.816575403613</v>
      </c>
      <c r="DC184" s="44">
        <f t="shared" si="32"/>
        <v>28958.933333333334</v>
      </c>
      <c r="DD184" s="5">
        <f t="shared" si="40"/>
        <v>8</v>
      </c>
      <c r="DE184" s="30" cm="1">
        <f t="array" ref="DE184">1/2*(rf-q)*DD184*dt-1/2*(sigma^2)*(DD184^2)*dt</f>
        <v>-4.7540120547945194E-2</v>
      </c>
      <c r="DF184" s="25">
        <f t="shared" si="36"/>
        <v>1.0974769534246573</v>
      </c>
      <c r="DG184" s="6">
        <f t="shared" si="37"/>
        <v>-4.9670531506849309E-2</v>
      </c>
      <c r="DH184" s="5">
        <f t="shared" si="39"/>
        <v>-502.55136395119916</v>
      </c>
      <c r="DI184" s="6">
        <v>28446.399246376397</v>
      </c>
    </row>
    <row r="185" spans="26:113" x14ac:dyDescent="0.25">
      <c r="AH185" s="16">
        <f>(AI184*$C$15+AI186*(1-$C$15))*EXP(-$C$9*$C$13)</f>
        <v>27322.969290857654</v>
      </c>
      <c r="AI185" s="15">
        <f>AH184*$C$14</f>
        <v>10128.582398014223</v>
      </c>
      <c r="AJ185" s="16">
        <f>(AK184*$C$15+AK186*(1-$C$15))*EXP(-$C$9*$C$13)</f>
        <v>27337.525455141811</v>
      </c>
      <c r="AK185" s="15">
        <f>AJ186/$C$14</f>
        <v>10128.582398014223</v>
      </c>
      <c r="AL185" s="16">
        <f>(AM184*$C$15+AM186*(1-$C$15))*EXP(-$C$9*$C$13)</f>
        <v>27352.089374143856</v>
      </c>
      <c r="AM185" s="15">
        <f>AL186/$C$14</f>
        <v>10128.582398014223</v>
      </c>
      <c r="AN185" s="16">
        <f>(AO184*$C$15+AO186*(1-$C$15))*EXP(-$C$9*$C$13)</f>
        <v>27366.66105199507</v>
      </c>
      <c r="AO185" s="15">
        <f>AN186/$C$14</f>
        <v>10128.582398014223</v>
      </c>
      <c r="AP185" s="16">
        <f>(AQ184*$C$15+AQ186*(1-$C$15))*EXP(-$C$9*$C$13)</f>
        <v>27381.240492828947</v>
      </c>
      <c r="AQ185" s="15">
        <f>AP186/$C$14</f>
        <v>10128.582398014223</v>
      </c>
      <c r="AR185" s="16">
        <f>(AS184*$C$15+AS186*(1-$C$15))*EXP(-$C$9*$C$13)</f>
        <v>27395.827700781159</v>
      </c>
      <c r="AS185" s="15">
        <f>AR186/$C$14</f>
        <v>10128.582398014223</v>
      </c>
      <c r="AT185" s="16">
        <f>(AU184*$C$15+AU186*(1-$C$15))*EXP(-$C$9*$C$13)</f>
        <v>27410.422679989602</v>
      </c>
      <c r="AU185" s="15">
        <f>AT186/$C$14</f>
        <v>10128.582398014223</v>
      </c>
      <c r="AV185" s="16">
        <f>(AW184*$C$15+AW186*(1-$C$15))*EXP(-$C$9*$C$13)</f>
        <v>27425.025434594376</v>
      </c>
      <c r="AW185" s="15">
        <f>AV186/$C$14</f>
        <v>10128.582398014223</v>
      </c>
      <c r="AX185" s="16">
        <f>(AY184*$C$15+AY186*(1-$C$15))*EXP(-$C$9*$C$13)</f>
        <v>27439.635968737777</v>
      </c>
      <c r="AY185" s="15">
        <f>AX186/$C$14</f>
        <v>10128.582398014223</v>
      </c>
      <c r="AZ185" s="16">
        <f>(BA184*$C$15+BA186*(1-$C$15))*EXP(-$C$9*$C$13)</f>
        <v>27454.254286564312</v>
      </c>
      <c r="BA185" s="15">
        <f>AZ186/$C$14</f>
        <v>10128.582398014223</v>
      </c>
      <c r="BB185" s="16">
        <f>MAX(0,$C$8-BB184)</f>
        <v>27468.880392220701</v>
      </c>
      <c r="BD185" s="23">
        <f t="shared" si="38"/>
        <v>7910.9333333334289</v>
      </c>
      <c r="BE185" s="25">
        <v>29586.514326825498</v>
      </c>
      <c r="BF185" s="25">
        <v>29596.499916625045</v>
      </c>
      <c r="BG185" s="25">
        <v>29606.488171119468</v>
      </c>
      <c r="BH185" s="25">
        <v>29616.479090179648</v>
      </c>
      <c r="BI185" s="25">
        <v>29626.472673783592</v>
      </c>
      <c r="BJ185" s="25">
        <v>29636.468922005901</v>
      </c>
      <c r="BK185" s="25">
        <v>29646.467835007832</v>
      </c>
      <c r="BL185" s="25">
        <v>29656.469413028011</v>
      </c>
      <c r="BM185" s="25">
        <v>29666.473656373797</v>
      </c>
      <c r="BN185" s="25">
        <v>29676.480565413294</v>
      </c>
      <c r="BO185" s="25">
        <v>29686.49014056797</v>
      </c>
      <c r="BP185" s="25">
        <v>29696.502382305924</v>
      </c>
      <c r="BQ185" s="25">
        <v>29706.517291135733</v>
      </c>
      <c r="BR185" s="25">
        <v>29716.53486760092</v>
      </c>
      <c r="BS185" s="25">
        <v>29726.555112274964</v>
      </c>
      <c r="BT185" s="25">
        <v>29736.578025756837</v>
      </c>
      <c r="BU185" s="25">
        <v>29746.603608667043</v>
      </c>
      <c r="BV185" s="25">
        <v>29756.631861644193</v>
      </c>
      <c r="BW185" s="25">
        <v>29766.662785341923</v>
      </c>
      <c r="BX185" s="25">
        <v>29776.696380426278</v>
      </c>
      <c r="BY185" s="25">
        <v>29786.732647573492</v>
      </c>
      <c r="BZ185" s="25">
        <v>29796.771587468033</v>
      </c>
      <c r="CA185" s="25">
        <v>29806.813200801014</v>
      </c>
      <c r="CB185" s="25">
        <v>29816.85748826883</v>
      </c>
      <c r="CC185" s="25">
        <v>29826.904450572045</v>
      </c>
      <c r="CD185" s="25">
        <v>29836.954088414492</v>
      </c>
      <c r="CE185" s="25">
        <v>29847.006402502553</v>
      </c>
      <c r="CF185" s="25">
        <v>29857.061393544547</v>
      </c>
      <c r="CG185" s="25">
        <v>29867.119062250305</v>
      </c>
      <c r="CH185" s="25">
        <v>29877.179409330776</v>
      </c>
      <c r="CI185" s="25">
        <v>29887.242435497807</v>
      </c>
      <c r="CJ185" s="25">
        <v>29897.308141463902</v>
      </c>
      <c r="CK185" s="25">
        <v>29907.376527942088</v>
      </c>
      <c r="CL185" s="25">
        <v>29917.447595645808</v>
      </c>
      <c r="CM185" s="25">
        <v>29927.521345288853</v>
      </c>
      <c r="CN185" s="25">
        <v>29937.597777585295</v>
      </c>
      <c r="CO185" s="25">
        <v>29947.676893249441</v>
      </c>
      <c r="CP185" s="25">
        <v>29957.758692995838</v>
      </c>
      <c r="CQ185" s="25">
        <v>29967.843177539253</v>
      </c>
      <c r="CR185" s="25">
        <v>29977.930347594644</v>
      </c>
      <c r="CS185" s="25">
        <v>29988.020203877164</v>
      </c>
      <c r="CT185" s="25">
        <v>29998.112747102168</v>
      </c>
      <c r="CU185" s="25">
        <v>30008.207977985199</v>
      </c>
      <c r="CV185" s="25">
        <v>30018.305897241989</v>
      </c>
      <c r="CW185" s="25">
        <v>30028.406505588478</v>
      </c>
      <c r="CX185" s="25">
        <v>30038.50980374077</v>
      </c>
      <c r="CY185" s="25">
        <v>30048.615792415167</v>
      </c>
      <c r="CZ185" s="25">
        <v>30058.724472328176</v>
      </c>
      <c r="DA185" s="25">
        <v>30068.835844196481</v>
      </c>
      <c r="DB185" s="25">
        <v>30078.949908736955</v>
      </c>
      <c r="DC185" s="44">
        <f t="shared" si="32"/>
        <v>30089.066666666666</v>
      </c>
      <c r="DD185" s="5">
        <f t="shared" si="40"/>
        <v>7</v>
      </c>
      <c r="DE185" s="30" cm="1">
        <f t="array" ref="DE185">1/2*(rf-q)*DD185*dt-1/2*(sigma^2)*(DD185^2)*dt</f>
        <v>-3.6281397945205469E-2</v>
      </c>
      <c r="DF185" s="25">
        <f t="shared" si="36"/>
        <v>1.0746932068493149</v>
      </c>
      <c r="DG185" s="6">
        <f t="shared" si="37"/>
        <v>-3.8145507534246566E-2</v>
      </c>
      <c r="DH185" s="5">
        <f t="shared" si="39"/>
        <v>-502.55233982288337</v>
      </c>
      <c r="DI185" s="6">
        <v>29576.531401968274</v>
      </c>
    </row>
    <row r="186" spans="26:113" x14ac:dyDescent="0.25">
      <c r="AI186" s="16">
        <f>(AJ185*$C$15+AJ187*(1-$C$15))*EXP(-$C$9*$C$13)</f>
        <v>27730.75202964944</v>
      </c>
      <c r="AJ186" s="15">
        <f>AI185*$C$14</f>
        <v>9741.4316059597331</v>
      </c>
      <c r="AK186" s="16">
        <f>(AL185*$C$15+AL187*(1-$C$15))*EXP(-$C$9*$C$13)</f>
        <v>27745.525437984747</v>
      </c>
      <c r="AL186" s="15">
        <f>AK187/$C$14</f>
        <v>9741.4316059597331</v>
      </c>
      <c r="AM186" s="16">
        <f>(AN185*$C$15+AN187*(1-$C$15))*EXP(-$C$9*$C$13)</f>
        <v>27760.306716773532</v>
      </c>
      <c r="AN186" s="15">
        <f>AM187/$C$14</f>
        <v>9741.4316059597331</v>
      </c>
      <c r="AO186" s="16">
        <f>(AP185*$C$15+AP187*(1-$C$15))*EXP(-$C$9*$C$13)</f>
        <v>27775.095870208741</v>
      </c>
      <c r="AP186" s="15">
        <f>AO187/$C$14</f>
        <v>9741.4316059597331</v>
      </c>
      <c r="AQ186" s="16">
        <f>(AR185*$C$15+AR187*(1-$C$15))*EXP(-$C$9*$C$13)</f>
        <v>27789.89290248555</v>
      </c>
      <c r="AR186" s="15">
        <f>AQ187/$C$14</f>
        <v>9741.4316059597331</v>
      </c>
      <c r="AS186" s="16">
        <f>(AT185*$C$15+AT187*(1-$C$15))*EXP(-$C$9*$C$13)</f>
        <v>27804.697817801363</v>
      </c>
      <c r="AT186" s="15">
        <f>AS187/$C$14</f>
        <v>9741.4316059597331</v>
      </c>
      <c r="AU186" s="16">
        <f>(AV185*$C$15+AV187*(1-$C$15))*EXP(-$C$9*$C$13)</f>
        <v>27819.510620355832</v>
      </c>
      <c r="AV186" s="15">
        <f>AU187/$C$14</f>
        <v>9741.4316059597331</v>
      </c>
      <c r="AW186" s="16">
        <f>(AX185*$C$15+AX187*(1-$C$15))*EXP(-$C$9*$C$13)</f>
        <v>27834.331314350839</v>
      </c>
      <c r="AX186" s="15">
        <f>AW187/$C$14</f>
        <v>9741.4316059597331</v>
      </c>
      <c r="AY186" s="16">
        <f>(AZ185*$C$15+AZ187*(1-$C$15))*EXP(-$C$9*$C$13)</f>
        <v>27849.159903990505</v>
      </c>
      <c r="AZ186" s="15">
        <f>AY187/$C$14</f>
        <v>9741.4316059597331</v>
      </c>
      <c r="BA186" s="16">
        <f>(BB185*$C$15+BB187*(1-$C$15))*EXP(-$C$9*$C$13)</f>
        <v>27863.996393481197</v>
      </c>
      <c r="BB186" s="15">
        <f>BA187/$C$14</f>
        <v>9741.4316059597331</v>
      </c>
      <c r="BD186" s="23">
        <f t="shared" si="38"/>
        <v>6780.8000000000957</v>
      </c>
      <c r="BE186" s="25">
        <v>30716.647512295407</v>
      </c>
      <c r="BF186" s="25">
        <v>30726.633130221362</v>
      </c>
      <c r="BG186" s="25">
        <v>30736.62140803142</v>
      </c>
      <c r="BH186" s="25">
        <v>30746.612346315476</v>
      </c>
      <c r="BI186" s="25">
        <v>30756.605945680974</v>
      </c>
      <c r="BJ186" s="25">
        <v>30766.602206750824</v>
      </c>
      <c r="BK186" s="25">
        <v>30776.601130161456</v>
      </c>
      <c r="BL186" s="25">
        <v>30786.60271656109</v>
      </c>
      <c r="BM186" s="25">
        <v>30796.6069666082</v>
      </c>
      <c r="BN186" s="25">
        <v>30806.613880970064</v>
      </c>
      <c r="BO186" s="25">
        <v>30816.62346032156</v>
      </c>
      <c r="BP186" s="25">
        <v>30826.635705344008</v>
      </c>
      <c r="BQ186" s="25">
        <v>30836.650616724233</v>
      </c>
      <c r="BR186" s="25">
        <v>30846.668195153699</v>
      </c>
      <c r="BS186" s="25">
        <v>30856.688441327758</v>
      </c>
      <c r="BT186" s="25">
        <v>30866.711355945012</v>
      </c>
      <c r="BU186" s="25">
        <v>30876.73693970676</v>
      </c>
      <c r="BV186" s="25">
        <v>30886.765193316533</v>
      </c>
      <c r="BW186" s="25">
        <v>30896.796117479702</v>
      </c>
      <c r="BX186" s="25">
        <v>30906.829712903142</v>
      </c>
      <c r="BY186" s="25">
        <v>30916.865980294948</v>
      </c>
      <c r="BZ186" s="25">
        <v>30926.904920364243</v>
      </c>
      <c r="CA186" s="25">
        <v>30936.946533820945</v>
      </c>
      <c r="CB186" s="25">
        <v>30946.990821375675</v>
      </c>
      <c r="CC186" s="25">
        <v>30957.037783739575</v>
      </c>
      <c r="CD186" s="25">
        <v>30967.087421624285</v>
      </c>
      <c r="CE186" s="25">
        <v>30977.139735741828</v>
      </c>
      <c r="CF186" s="25">
        <v>30987.194726804555</v>
      </c>
      <c r="CG186" s="25">
        <v>30997.25239552512</v>
      </c>
      <c r="CH186" s="25">
        <v>31007.312742616439</v>
      </c>
      <c r="CI186" s="25">
        <v>31017.375768791673</v>
      </c>
      <c r="CJ186" s="25">
        <v>31027.441474764208</v>
      </c>
      <c r="CK186" s="25">
        <v>31037.509861247636</v>
      </c>
      <c r="CL186" s="25">
        <v>31047.580928955766</v>
      </c>
      <c r="CM186" s="25">
        <v>31057.654678602608</v>
      </c>
      <c r="CN186" s="25">
        <v>31067.731110902361</v>
      </c>
      <c r="CO186" s="25">
        <v>31077.810226569432</v>
      </c>
      <c r="CP186" s="25">
        <v>31087.892026318408</v>
      </c>
      <c r="CQ186" s="25">
        <v>31097.976510864075</v>
      </c>
      <c r="CR186" s="25">
        <v>31108.063680921416</v>
      </c>
      <c r="CS186" s="25">
        <v>31118.153537205606</v>
      </c>
      <c r="CT186" s="25">
        <v>31128.246080432</v>
      </c>
      <c r="CU186" s="25">
        <v>31138.341311316159</v>
      </c>
      <c r="CV186" s="25">
        <v>31148.439230573833</v>
      </c>
      <c r="CW186" s="25">
        <v>31158.539838920973</v>
      </c>
      <c r="CX186" s="25">
        <v>31168.643137073719</v>
      </c>
      <c r="CY186" s="25">
        <v>31178.7491257484</v>
      </c>
      <c r="CZ186" s="25">
        <v>31188.857805661544</v>
      </c>
      <c r="DA186" s="25">
        <v>31198.969177529882</v>
      </c>
      <c r="DB186" s="25">
        <v>31209.08324207033</v>
      </c>
      <c r="DC186" s="44">
        <f t="shared" si="32"/>
        <v>31219.199999999997</v>
      </c>
      <c r="DD186" s="5">
        <f t="shared" si="40"/>
        <v>6</v>
      </c>
      <c r="DE186" s="30" cm="1">
        <f t="array" ref="DE186">1/2*(rf-q)*DD186*dt-1/2*(sigma^2)*(DD186^2)*dt</f>
        <v>-2.654159178082191E-2</v>
      </c>
      <c r="DF186" s="25">
        <f t="shared" si="36"/>
        <v>1.0549472931506849</v>
      </c>
      <c r="DG186" s="6">
        <f t="shared" si="37"/>
        <v>-2.8139399999999995E-2</v>
      </c>
      <c r="DH186" s="5">
        <f t="shared" si="39"/>
        <v>-502.55248768629463</v>
      </c>
      <c r="DI186" s="6">
        <v>30706.664553683524</v>
      </c>
    </row>
    <row r="187" spans="26:113" x14ac:dyDescent="0.25">
      <c r="AJ187" s="16">
        <f>(AK186*$C$15+AK188*(1-$C$15))*EXP(-$C$9*$C$13)</f>
        <v>28123.437204842259</v>
      </c>
      <c r="AK187" s="15">
        <f>AJ186*$C$14</f>
        <v>9369.0791074766912</v>
      </c>
      <c r="AL187" s="16">
        <f>(AM186*$C$15+AM188*(1-$C$15))*EXP(-$C$9*$C$13)</f>
        <v>28138.419814083263</v>
      </c>
      <c r="AM187" s="15">
        <f>AL188/$C$14</f>
        <v>9369.0791074766912</v>
      </c>
      <c r="AN187" s="16">
        <f>(AO186*$C$15+AO188*(1-$C$15))*EXP(-$C$9*$C$13)</f>
        <v>28153.410405228406</v>
      </c>
      <c r="AO187" s="15">
        <f>AN188/$C$14</f>
        <v>9369.0791074766912</v>
      </c>
      <c r="AP187" s="16">
        <f>(AQ186*$C$15+AQ188*(1-$C$15))*EXP(-$C$9*$C$13)</f>
        <v>28168.408982529992</v>
      </c>
      <c r="AQ187" s="15">
        <f>AP188/$C$14</f>
        <v>9369.0791074766912</v>
      </c>
      <c r="AR187" s="16">
        <f>(AS186*$C$15+AS188*(1-$C$15))*EXP(-$C$9*$C$13)</f>
        <v>28183.415550242611</v>
      </c>
      <c r="AS187" s="15">
        <f>AR188/$C$14</f>
        <v>9369.0791074766912</v>
      </c>
      <c r="AT187" s="16">
        <f>(AU186*$C$15+AU188*(1-$C$15))*EXP(-$C$9*$C$13)</f>
        <v>28198.430112623111</v>
      </c>
      <c r="AU187" s="15">
        <f>AT188/$C$14</f>
        <v>9369.0791074766912</v>
      </c>
      <c r="AV187" s="16">
        <f>(AW186*$C$15+AW188*(1-$C$15))*EXP(-$C$9*$C$13)</f>
        <v>28213.452673930606</v>
      </c>
      <c r="AW187" s="15">
        <f>AV188/$C$14</f>
        <v>9369.0791074766912</v>
      </c>
      <c r="AX187" s="16">
        <f>(AY186*$C$15+AY188*(1-$C$15))*EXP(-$C$9*$C$13)</f>
        <v>28228.483238426481</v>
      </c>
      <c r="AY187" s="15">
        <f>AX188/$C$14</f>
        <v>9369.0791074766912</v>
      </c>
      <c r="AZ187" s="16">
        <f>(BA186*$C$15+BA188*(1-$C$15))*EXP(-$C$9*$C$13)</f>
        <v>28243.521810374394</v>
      </c>
      <c r="BA187" s="15">
        <f>AZ188/$C$14</f>
        <v>9369.0791074766912</v>
      </c>
      <c r="BB187" s="16">
        <f>MAX(0,$C$8-BB186)</f>
        <v>28258.568394040267</v>
      </c>
      <c r="BD187" s="23">
        <f t="shared" si="38"/>
        <v>5650.6666666667625</v>
      </c>
      <c r="BE187" s="25">
        <v>31846.780828065806</v>
      </c>
      <c r="BF187" s="25">
        <v>31856.766449423503</v>
      </c>
      <c r="BG187" s="25">
        <v>31866.75473002722</v>
      </c>
      <c r="BH187" s="25">
        <v>31876.745670573633</v>
      </c>
      <c r="BI187" s="25">
        <v>31886.739271761508</v>
      </c>
      <c r="BJ187" s="25">
        <v>31896.735534291412</v>
      </c>
      <c r="BK187" s="25">
        <v>31906.734458865511</v>
      </c>
      <c r="BL187" s="25">
        <v>31916.736046187318</v>
      </c>
      <c r="BM187" s="25">
        <v>31926.740296961532</v>
      </c>
      <c r="BN187" s="25">
        <v>31936.747211893868</v>
      </c>
      <c r="BO187" s="25">
        <v>31946.756791690936</v>
      </c>
      <c r="BP187" s="25">
        <v>31956.769037060098</v>
      </c>
      <c r="BQ187" s="25">
        <v>31966.783948709373</v>
      </c>
      <c r="BR187" s="25">
        <v>31976.801527347361</v>
      </c>
      <c r="BS187" s="25">
        <v>31986.821773683147</v>
      </c>
      <c r="BT187" s="25">
        <v>31996.844688426278</v>
      </c>
      <c r="BU187" s="25">
        <v>32006.870272286673</v>
      </c>
      <c r="BV187" s="25">
        <v>32016.8985259746</v>
      </c>
      <c r="BW187" s="25">
        <v>32026.929450200641</v>
      </c>
      <c r="BX187" s="25">
        <v>32036.963045675668</v>
      </c>
      <c r="BY187" s="25">
        <v>32046.999313110806</v>
      </c>
      <c r="BZ187" s="25">
        <v>32057.038253217423</v>
      </c>
      <c r="CA187" s="25">
        <v>32067.079866707125</v>
      </c>
      <c r="CB187" s="25">
        <v>32077.124154291734</v>
      </c>
      <c r="CC187" s="25">
        <v>32087.17111668329</v>
      </c>
      <c r="CD187" s="25">
        <v>32097.220754594025</v>
      </c>
      <c r="CE187" s="25">
        <v>32107.273068736384</v>
      </c>
      <c r="CF187" s="25">
        <v>32117.328059823001</v>
      </c>
      <c r="CG187" s="25">
        <v>32127.385728566711</v>
      </c>
      <c r="CH187" s="25">
        <v>32137.44607568052</v>
      </c>
      <c r="CI187" s="25">
        <v>32147.509101877658</v>
      </c>
      <c r="CJ187" s="25">
        <v>32157.574807871522</v>
      </c>
      <c r="CK187" s="25">
        <v>32167.643194375698</v>
      </c>
      <c r="CL187" s="25">
        <v>32177.714262103975</v>
      </c>
      <c r="CM187" s="25">
        <v>32187.788011770317</v>
      </c>
      <c r="CN187" s="25">
        <v>32197.864444088875</v>
      </c>
      <c r="CO187" s="25">
        <v>32207.943559774001</v>
      </c>
      <c r="CP187" s="25">
        <v>32218.025359540225</v>
      </c>
      <c r="CQ187" s="25">
        <v>32228.109844102262</v>
      </c>
      <c r="CR187" s="25">
        <v>32238.197014175028</v>
      </c>
      <c r="CS187" s="25">
        <v>32248.286870473603</v>
      </c>
      <c r="CT187" s="25">
        <v>32258.379413713275</v>
      </c>
      <c r="CU187" s="25">
        <v>32268.474644609509</v>
      </c>
      <c r="CV187" s="25">
        <v>32278.572563877966</v>
      </c>
      <c r="CW187" s="25">
        <v>32288.673172234478</v>
      </c>
      <c r="CX187" s="25">
        <v>32298.776470395074</v>
      </c>
      <c r="CY187" s="25">
        <v>32308.882459075972</v>
      </c>
      <c r="CZ187" s="25">
        <v>32318.99113899357</v>
      </c>
      <c r="DA187" s="25">
        <v>32329.102510864454</v>
      </c>
      <c r="DB187" s="25">
        <v>32339.216575405389</v>
      </c>
      <c r="DC187" s="44">
        <f t="shared" si="32"/>
        <v>32349.333333333332</v>
      </c>
      <c r="DD187" s="5">
        <f t="shared" si="40"/>
        <v>5</v>
      </c>
      <c r="DE187" s="30" cm="1">
        <f t="array" ref="DE187">1/2*(rf-q)*DD187*dt-1/2*(sigma^2)*(DD187^2)*dt</f>
        <v>-1.8320702054794521E-2</v>
      </c>
      <c r="DF187" s="25">
        <f t="shared" si="36"/>
        <v>1.0382392123287671</v>
      </c>
      <c r="DG187" s="6">
        <f t="shared" si="37"/>
        <v>-1.9652208904109587E-2</v>
      </c>
      <c r="DH187" s="5">
        <f t="shared" si="39"/>
        <v>-502.55250524511939</v>
      </c>
      <c r="DI187" s="6">
        <v>31836.797865259839</v>
      </c>
    </row>
    <row r="188" spans="26:113" x14ac:dyDescent="0.25">
      <c r="AK188" s="16">
        <f>(AL187*$C$15+AL189*(1-$C$15))*EXP(-$C$9*$C$13)</f>
        <v>28501.598134708318</v>
      </c>
      <c r="AL188" s="15">
        <f>AK187*$C$14</f>
        <v>9010.9592586425715</v>
      </c>
      <c r="AM188" s="16">
        <f>(AN187*$C$15+AN189*(1-$C$15))*EXP(-$C$9*$C$13)</f>
        <v>28516.782207141787</v>
      </c>
      <c r="AN188" s="15">
        <f>AM189/$C$14</f>
        <v>9010.9592586425715</v>
      </c>
      <c r="AO188" s="16">
        <f>(AP187*$C$15+AP189*(1-$C$15))*EXP(-$C$9*$C$13)</f>
        <v>28531.97436880782</v>
      </c>
      <c r="AP188" s="15">
        <f>AO189/$C$14</f>
        <v>9010.9592586425715</v>
      </c>
      <c r="AQ188" s="16">
        <f>(AR187*$C$15+AR189*(1-$C$15))*EXP(-$C$9*$C$13)</f>
        <v>28547.174624015908</v>
      </c>
      <c r="AR188" s="15">
        <f>AQ189/$C$14</f>
        <v>9010.9592586425715</v>
      </c>
      <c r="AS188" s="16">
        <f>(AT187*$C$15+AT189*(1-$C$15))*EXP(-$C$9*$C$13)</f>
        <v>28562.382977077839</v>
      </c>
      <c r="AT188" s="15">
        <f>AS189/$C$14</f>
        <v>9010.9592586425715</v>
      </c>
      <c r="AU188" s="16">
        <f>(AV187*$C$15+AV189*(1-$C$15))*EXP(-$C$9*$C$13)</f>
        <v>28577.59943230771</v>
      </c>
      <c r="AV188" s="15">
        <f>AU189/$C$14</f>
        <v>9010.9592586425715</v>
      </c>
      <c r="AW188" s="16">
        <f>(AX187*$C$15+AX189*(1-$C$15))*EXP(-$C$9*$C$13)</f>
        <v>28592.823994021899</v>
      </c>
      <c r="AX188" s="15">
        <f>AW189/$C$14</f>
        <v>9010.9592586425715</v>
      </c>
      <c r="AY188" s="16">
        <f>(AZ187*$C$15+AZ189*(1-$C$15))*EXP(-$C$9*$C$13)</f>
        <v>28608.056666539094</v>
      </c>
      <c r="AZ188" s="15">
        <f>AY189/$C$14</f>
        <v>9010.9592586425715</v>
      </c>
      <c r="BA188" s="16">
        <f>(BB187*$C$15+BB189*(1-$C$15))*EXP(-$C$9*$C$13)</f>
        <v>28623.297454180283</v>
      </c>
      <c r="BB188" s="15">
        <f>BA189/$C$14</f>
        <v>9010.9592586425715</v>
      </c>
      <c r="BD188" s="23">
        <f t="shared" si="38"/>
        <v>4520.5333333334293</v>
      </c>
      <c r="BE188" s="25">
        <v>32976.914156429564</v>
      </c>
      <c r="BF188" s="25">
        <v>32986.899778118182</v>
      </c>
      <c r="BG188" s="25">
        <v>32996.888058995246</v>
      </c>
      <c r="BH188" s="25">
        <v>33006.878999768211</v>
      </c>
      <c r="BI188" s="25">
        <v>33016.872601144853</v>
      </c>
      <c r="BJ188" s="25">
        <v>33026.868863833224</v>
      </c>
      <c r="BK188" s="25">
        <v>33036.867788541691</v>
      </c>
      <c r="BL188" s="25">
        <v>33046.869375978858</v>
      </c>
      <c r="BM188" s="25">
        <v>33056.873626853579</v>
      </c>
      <c r="BN188" s="25">
        <v>33066.880541874962</v>
      </c>
      <c r="BO188" s="25">
        <v>33076.890121752316</v>
      </c>
      <c r="BP188" s="25">
        <v>33086.902367195224</v>
      </c>
      <c r="BQ188" s="25">
        <v>33096.917278913439</v>
      </c>
      <c r="BR188" s="25">
        <v>33106.934857616936</v>
      </c>
      <c r="BS188" s="25">
        <v>33116.955104015891</v>
      </c>
      <c r="BT188" s="25">
        <v>33126.978018820693</v>
      </c>
      <c r="BU188" s="25">
        <v>33137.003602741926</v>
      </c>
      <c r="BV188" s="25">
        <v>33147.031856490401</v>
      </c>
      <c r="BW188" s="25">
        <v>33157.062780777058</v>
      </c>
      <c r="BX188" s="25">
        <v>33167.096376313079</v>
      </c>
      <c r="BY188" s="25">
        <v>33177.13264380984</v>
      </c>
      <c r="BZ188" s="25">
        <v>33187.171583978896</v>
      </c>
      <c r="CA188" s="25">
        <v>33197.213197531994</v>
      </c>
      <c r="CB188" s="25">
        <v>33207.257485181079</v>
      </c>
      <c r="CC188" s="25">
        <v>33217.304447638278</v>
      </c>
      <c r="CD188" s="25">
        <v>33227.354085615916</v>
      </c>
      <c r="CE188" s="25">
        <v>33237.406399826519</v>
      </c>
      <c r="CF188" s="25">
        <v>33247.461390982789</v>
      </c>
      <c r="CG188" s="25">
        <v>33257.519059797618</v>
      </c>
      <c r="CH188" s="25">
        <v>33267.579406984107</v>
      </c>
      <c r="CI188" s="25">
        <v>33277.642433255533</v>
      </c>
      <c r="CJ188" s="25">
        <v>33287.708139325354</v>
      </c>
      <c r="CK188" s="25">
        <v>33297.776525907248</v>
      </c>
      <c r="CL188" s="25">
        <v>33307.847593715058</v>
      </c>
      <c r="CM188" s="25">
        <v>33317.921343462833</v>
      </c>
      <c r="CN188" s="25">
        <v>33327.997775864802</v>
      </c>
      <c r="CO188" s="25">
        <v>33338.076891635399</v>
      </c>
      <c r="CP188" s="25">
        <v>33348.158691489247</v>
      </c>
      <c r="CQ188" s="25">
        <v>33358.243176141157</v>
      </c>
      <c r="CR188" s="25">
        <v>33368.330346306131</v>
      </c>
      <c r="CS188" s="25">
        <v>33378.420202699359</v>
      </c>
      <c r="CT188" s="25">
        <v>33388.512746036235</v>
      </c>
      <c r="CU188" s="25">
        <v>33398.607977032341</v>
      </c>
      <c r="CV188" s="25">
        <v>33408.705896403444</v>
      </c>
      <c r="CW188" s="25">
        <v>33418.806504865519</v>
      </c>
      <c r="CX188" s="25">
        <v>33428.909803134717</v>
      </c>
      <c r="CY188" s="25">
        <v>33439.015791927392</v>
      </c>
      <c r="CZ188" s="25">
        <v>33449.124471960102</v>
      </c>
      <c r="DA188" s="25">
        <v>33459.235843949551</v>
      </c>
      <c r="DB188" s="25">
        <v>33469.349908612698</v>
      </c>
      <c r="DC188" s="44">
        <f t="shared" si="32"/>
        <v>33479.466666666667</v>
      </c>
      <c r="DD188" s="5">
        <f t="shared" si="40"/>
        <v>4</v>
      </c>
      <c r="DE188" s="30" cm="1">
        <f t="array" ref="DE188">1/2*(rf-q)*DD188*dt-1/2*(sigma^2)*(DD188^2)*dt</f>
        <v>-1.1618728767123285E-2</v>
      </c>
      <c r="DF188" s="25">
        <f t="shared" si="36"/>
        <v>1.0245689643835616</v>
      </c>
      <c r="DG188" s="6">
        <f t="shared" si="37"/>
        <v>-1.2683934246575341E-2</v>
      </c>
      <c r="DH188" s="5">
        <f t="shared" si="39"/>
        <v>-502.55251034285902</v>
      </c>
      <c r="DI188" s="6">
        <v>32966.93119322227</v>
      </c>
    </row>
    <row r="189" spans="26:113" x14ac:dyDescent="0.25">
      <c r="AL189" s="16">
        <f>(AM188*$C$15+AM190*(1-$C$15))*EXP(-$C$9*$C$13)</f>
        <v>28865.7863701231</v>
      </c>
      <c r="AM189" s="15">
        <f>AL188*$C$14</f>
        <v>8666.528036476855</v>
      </c>
      <c r="AN189" s="16">
        <f>(AO188*$C$15+AO190*(1-$C$15))*EXP(-$C$9*$C$13)</f>
        <v>28881.164461871555</v>
      </c>
      <c r="AO189" s="15">
        <f>AN190/$C$14</f>
        <v>8666.528036476855</v>
      </c>
      <c r="AP189" s="16">
        <f>(AQ188*$C$15+AQ190*(1-$C$15))*EXP(-$C$9*$C$13)</f>
        <v>28896.550746215304</v>
      </c>
      <c r="AQ189" s="15">
        <f>AP190/$C$14</f>
        <v>8666.528036476855</v>
      </c>
      <c r="AR189" s="16">
        <f>(AS188*$C$15+AS190*(1-$C$15))*EXP(-$C$9*$C$13)</f>
        <v>28911.945227518925</v>
      </c>
      <c r="AS189" s="15">
        <f>AR190/$C$14</f>
        <v>8666.528036476855</v>
      </c>
      <c r="AT189" s="16">
        <f>(AU188*$C$15+AU190*(1-$C$15))*EXP(-$C$9*$C$13)</f>
        <v>28927.347910149289</v>
      </c>
      <c r="AU189" s="15">
        <f>AT190/$C$14</f>
        <v>8666.528036476855</v>
      </c>
      <c r="AV189" s="16">
        <f>(AW188*$C$15+AW190*(1-$C$15))*EXP(-$C$9*$C$13)</f>
        <v>28942.758798475621</v>
      </c>
      <c r="AW189" s="15">
        <f>AV190/$C$14</f>
        <v>8666.528036476855</v>
      </c>
      <c r="AX189" s="16">
        <f>(AY188*$C$15+AY190*(1-$C$15))*EXP(-$C$9*$C$13)</f>
        <v>28958.177896869449</v>
      </c>
      <c r="AY189" s="15">
        <f>AX190/$C$14</f>
        <v>8666.528036476855</v>
      </c>
      <c r="AZ189" s="16">
        <f>(BA188*$C$15+BA190*(1-$C$15))*EXP(-$C$9*$C$13)</f>
        <v>28973.605209704656</v>
      </c>
      <c r="BA189" s="15">
        <f>AZ190/$C$14</f>
        <v>8666.528036476855</v>
      </c>
      <c r="BB189" s="16">
        <f>MAX(0,$C$8-BB188)</f>
        <v>28989.040741357428</v>
      </c>
      <c r="BD189" s="23">
        <f t="shared" si="38"/>
        <v>3390.400000000096</v>
      </c>
      <c r="BE189" s="25">
        <v>34107.047488645374</v>
      </c>
      <c r="BF189" s="25">
        <v>34117.033110378623</v>
      </c>
      <c r="BG189" s="25">
        <v>34127.021391296897</v>
      </c>
      <c r="BH189" s="25">
        <v>34137.012332108323</v>
      </c>
      <c r="BI189" s="25">
        <v>34147.005933521206</v>
      </c>
      <c r="BJ189" s="25">
        <v>34157.002196244051</v>
      </c>
      <c r="BK189" s="25">
        <v>34167.001120985573</v>
      </c>
      <c r="BL189" s="25">
        <v>34177.002708454645</v>
      </c>
      <c r="BM189" s="25">
        <v>34187.006959360348</v>
      </c>
      <c r="BN189" s="25">
        <v>34197.013874411961</v>
      </c>
      <c r="BO189" s="25">
        <v>34207.023454318936</v>
      </c>
      <c r="BP189" s="25">
        <v>34217.035699790933</v>
      </c>
      <c r="BQ189" s="25">
        <v>34227.050611537794</v>
      </c>
      <c r="BR189" s="25">
        <v>34237.068190269543</v>
      </c>
      <c r="BS189" s="25">
        <v>34247.088436696395</v>
      </c>
      <c r="BT189" s="25">
        <v>34257.111351528765</v>
      </c>
      <c r="BU189" s="25">
        <v>34267.136935477254</v>
      </c>
      <c r="BV189" s="25">
        <v>34277.165189252642</v>
      </c>
      <c r="BW189" s="25">
        <v>34287.196113565915</v>
      </c>
      <c r="BX189" s="25">
        <v>34297.229709128231</v>
      </c>
      <c r="BY189" s="25">
        <v>34307.265976650946</v>
      </c>
      <c r="BZ189" s="25">
        <v>34317.30491684562</v>
      </c>
      <c r="CA189" s="25">
        <v>34327.346530423973</v>
      </c>
      <c r="CB189" s="25">
        <v>34337.390818097927</v>
      </c>
      <c r="CC189" s="25">
        <v>34347.437780579603</v>
      </c>
      <c r="CD189" s="25">
        <v>34357.487418581302</v>
      </c>
      <c r="CE189" s="25">
        <v>34367.539732815516</v>
      </c>
      <c r="CF189" s="25">
        <v>34377.594723994924</v>
      </c>
      <c r="CG189" s="25">
        <v>34387.652392832388</v>
      </c>
      <c r="CH189" s="25">
        <v>34397.712740040988</v>
      </c>
      <c r="CI189" s="25">
        <v>34407.775766333965</v>
      </c>
      <c r="CJ189" s="25">
        <v>34417.841472424763</v>
      </c>
      <c r="CK189" s="25">
        <v>34427.909859027015</v>
      </c>
      <c r="CL189" s="25">
        <v>34437.980926854521</v>
      </c>
      <c r="CM189" s="25">
        <v>34448.054676621316</v>
      </c>
      <c r="CN189" s="25">
        <v>34458.131109041577</v>
      </c>
      <c r="CO189" s="25">
        <v>34468.210224829709</v>
      </c>
      <c r="CP189" s="25">
        <v>34478.292024700298</v>
      </c>
      <c r="CQ189" s="25">
        <v>34488.3765093681</v>
      </c>
      <c r="CR189" s="25">
        <v>34498.463679548076</v>
      </c>
      <c r="CS189" s="25">
        <v>34508.553535955369</v>
      </c>
      <c r="CT189" s="25">
        <v>34518.646079305327</v>
      </c>
      <c r="CU189" s="25">
        <v>34528.741310313482</v>
      </c>
      <c r="CV189" s="25">
        <v>34538.839229695557</v>
      </c>
      <c r="CW189" s="25">
        <v>34548.939838167447</v>
      </c>
      <c r="CX189" s="25">
        <v>34559.04313644526</v>
      </c>
      <c r="CY189" s="25">
        <v>34569.149125245291</v>
      </c>
      <c r="CZ189" s="25">
        <v>34579.257805284011</v>
      </c>
      <c r="DA189" s="25">
        <v>34589.369177278102</v>
      </c>
      <c r="DB189" s="25">
        <v>34599.483241944414</v>
      </c>
      <c r="DC189" s="44">
        <f t="shared" si="32"/>
        <v>34609.599999999999</v>
      </c>
      <c r="DD189" s="5">
        <f t="shared" si="40"/>
        <v>3</v>
      </c>
      <c r="DE189" s="30" cm="1">
        <f t="array" ref="DE189">1/2*(rf-q)*DD189*dt-1/2*(sigma^2)*(DD189^2)*dt</f>
        <v>-6.4356719178082179E-3</v>
      </c>
      <c r="DF189" s="25">
        <f t="shared" si="36"/>
        <v>1.0139365493150685</v>
      </c>
      <c r="DG189" s="6">
        <f t="shared" si="37"/>
        <v>-7.2345760273972593E-3</v>
      </c>
      <c r="DH189" s="5">
        <f t="shared" si="39"/>
        <v>-502.55251146038063</v>
      </c>
      <c r="DI189" s="6">
        <v>34097.064525389214</v>
      </c>
    </row>
    <row r="190" spans="26:113" x14ac:dyDescent="0.25">
      <c r="AM190" s="16">
        <f>(AN189*$C$15+AN191*(1-$C$15))*EXP(-$C$9*$C$13)</f>
        <v>29216.532521017598</v>
      </c>
      <c r="AN190" s="15">
        <f>AM189*$C$14</f>
        <v>8335.2622125109792</v>
      </c>
      <c r="AO190" s="16">
        <f>(AP189*$C$15+AP191*(1-$C$15))*EXP(-$C$9*$C$13)</f>
        <v>29232.097470883116</v>
      </c>
      <c r="AP190" s="15">
        <f>AO191/$C$14</f>
        <v>8335.2622125109792</v>
      </c>
      <c r="AQ190" s="16">
        <f>(AR189*$C$15+AR191*(1-$C$15))*EXP(-$C$9*$C$13)</f>
        <v>29247.670712891595</v>
      </c>
      <c r="AR190" s="15">
        <f>AQ191/$C$14</f>
        <v>8335.2622125109792</v>
      </c>
      <c r="AS190" s="16">
        <f>(AT189*$C$15+AT191*(1-$C$15))*EXP(-$C$9*$C$13)</f>
        <v>29263.252251460621</v>
      </c>
      <c r="AT190" s="15">
        <f>AS191/$C$14</f>
        <v>8335.2622125109792</v>
      </c>
      <c r="AU190" s="16">
        <f>(AV189*$C$15+AV191*(1-$C$15))*EXP(-$C$9*$C$13)</f>
        <v>29278.842091010141</v>
      </c>
      <c r="AV190" s="15">
        <f>AU191/$C$14</f>
        <v>8335.2622125109792</v>
      </c>
      <c r="AW190" s="16">
        <f>(AX189*$C$15+AX191*(1-$C$15))*EXP(-$C$9*$C$13)</f>
        <v>29294.440235962466</v>
      </c>
      <c r="AX190" s="15">
        <f>AW191/$C$14</f>
        <v>8335.2622125109792</v>
      </c>
      <c r="AY190" s="16">
        <f>(AZ189*$C$15+AZ191*(1-$C$15))*EXP(-$C$9*$C$13)</f>
        <v>29310.046690742245</v>
      </c>
      <c r="AZ190" s="15">
        <f>AY191/$C$14</f>
        <v>8335.2622125109792</v>
      </c>
      <c r="BA190" s="16">
        <f>(BB189*$C$15+BB191*(1-$C$15))*EXP(-$C$9*$C$13)</f>
        <v>29325.661459776504</v>
      </c>
      <c r="BB190" s="15">
        <f>BA191/$C$14</f>
        <v>8335.2622125109792</v>
      </c>
      <c r="BD190" s="23">
        <f t="shared" si="38"/>
        <v>2260.2666666667628</v>
      </c>
      <c r="BE190" s="25">
        <v>35237.18082151845</v>
      </c>
      <c r="BF190" s="25">
        <v>35247.166443263493</v>
      </c>
      <c r="BG190" s="25">
        <v>35257.154724193359</v>
      </c>
      <c r="BH190" s="25">
        <v>35267.145665016178</v>
      </c>
      <c r="BI190" s="25">
        <v>35277.139266440296</v>
      </c>
      <c r="BJ190" s="25">
        <v>35287.135529174222</v>
      </c>
      <c r="BK190" s="25">
        <v>35297.134453926672</v>
      </c>
      <c r="BL190" s="25">
        <v>35307.136041406549</v>
      </c>
      <c r="BM190" s="25">
        <v>35317.14029232294</v>
      </c>
      <c r="BN190" s="25">
        <v>35327.147207385111</v>
      </c>
      <c r="BO190" s="25">
        <v>35337.156787302534</v>
      </c>
      <c r="BP190" s="25">
        <v>35347.169032784856</v>
      </c>
      <c r="BQ190" s="25">
        <v>35357.183944541939</v>
      </c>
      <c r="BR190" s="25">
        <v>35367.201523283788</v>
      </c>
      <c r="BS190" s="25">
        <v>35377.221769720643</v>
      </c>
      <c r="BT190" s="25">
        <v>35387.244684562917</v>
      </c>
      <c r="BU190" s="25">
        <v>35397.270268521206</v>
      </c>
      <c r="BV190" s="25">
        <v>35407.298522306286</v>
      </c>
      <c r="BW190" s="25">
        <v>35417.329446629155</v>
      </c>
      <c r="BX190" s="25">
        <v>35427.363042200966</v>
      </c>
      <c r="BY190" s="25">
        <v>35437.399309733089</v>
      </c>
      <c r="BZ190" s="25">
        <v>35447.438249937069</v>
      </c>
      <c r="CA190" s="25">
        <v>35457.479863524633</v>
      </c>
      <c r="CB190" s="25">
        <v>35467.524151207705</v>
      </c>
      <c r="CC190" s="25">
        <v>35477.571113698403</v>
      </c>
      <c r="CD190" s="25">
        <v>35487.62075170903</v>
      </c>
      <c r="CE190" s="25">
        <v>35497.673065952091</v>
      </c>
      <c r="CF190" s="25">
        <v>35507.728057140259</v>
      </c>
      <c r="CG190" s="25">
        <v>35517.785725986418</v>
      </c>
      <c r="CH190" s="25">
        <v>35527.846073203626</v>
      </c>
      <c r="CI190" s="25">
        <v>35537.909099505137</v>
      </c>
      <c r="CJ190" s="25">
        <v>35547.974805604397</v>
      </c>
      <c r="CK190" s="25">
        <v>35558.043192215031</v>
      </c>
      <c r="CL190" s="25">
        <v>35568.114260050868</v>
      </c>
      <c r="CM190" s="25">
        <v>35578.188009825928</v>
      </c>
      <c r="CN190" s="25">
        <v>35588.264442254411</v>
      </c>
      <c r="CO190" s="25">
        <v>35598.343558050692</v>
      </c>
      <c r="CP190" s="25">
        <v>35608.425357929387</v>
      </c>
      <c r="CQ190" s="25">
        <v>35618.50984260525</v>
      </c>
      <c r="CR190" s="25">
        <v>35628.59701279326</v>
      </c>
      <c r="CS190" s="25">
        <v>35638.686869208563</v>
      </c>
      <c r="CT190" s="25">
        <v>35648.779412566502</v>
      </c>
      <c r="CU190" s="25">
        <v>35658.874643582632</v>
      </c>
      <c r="CV190" s="25">
        <v>35668.97256297266</v>
      </c>
      <c r="CW190" s="25">
        <v>35679.07317145251</v>
      </c>
      <c r="CX190" s="25">
        <v>35689.176469738297</v>
      </c>
      <c r="CY190" s="25">
        <v>35699.282458546309</v>
      </c>
      <c r="CZ190" s="25">
        <v>35709.391138593041</v>
      </c>
      <c r="DA190" s="25">
        <v>35719.502510595179</v>
      </c>
      <c r="DB190" s="25">
        <v>35729.616575269589</v>
      </c>
      <c r="DC190" s="44">
        <f t="shared" si="32"/>
        <v>35739.73333333333</v>
      </c>
      <c r="DD190" s="5">
        <f t="shared" si="40"/>
        <v>2</v>
      </c>
      <c r="DE190" s="30" cm="1">
        <f t="array" ref="DE190">1/2*(rf-q)*DD190*dt-1/2*(sigma^2)*(DD190^2)*dt</f>
        <v>-2.7715315068493145E-3</v>
      </c>
      <c r="DF190" s="25">
        <f t="shared" si="36"/>
        <v>1.0063419671232876</v>
      </c>
      <c r="DG190" s="6">
        <f t="shared" si="37"/>
        <v>-3.3041342465753415E-3</v>
      </c>
      <c r="DH190" s="5">
        <f t="shared" si="39"/>
        <v>-502.55251192885771</v>
      </c>
      <c r="DI190" s="6">
        <v>35227.197858250263</v>
      </c>
    </row>
    <row r="191" spans="26:113" x14ac:dyDescent="0.25">
      <c r="AN191" s="16">
        <f>(AO190*$C$15+AO192*(1-$C$15))*EXP(-$C$9*$C$13)</f>
        <v>29554.347051452252</v>
      </c>
      <c r="AO191" s="15">
        <f>AN190*$C$14</f>
        <v>8016.6585579474186</v>
      </c>
      <c r="AP191" s="16">
        <f>(AQ190*$C$15+AQ192*(1-$C$15))*EXP(-$C$9*$C$13)</f>
        <v>29570.091970183901</v>
      </c>
      <c r="AQ191" s="15">
        <f>AP192/$C$14</f>
        <v>8016.6585579474186</v>
      </c>
      <c r="AR191" s="16">
        <f>(AS190*$C$15+AS192*(1-$C$15))*EXP(-$C$9*$C$13)</f>
        <v>29585.84527693595</v>
      </c>
      <c r="AS191" s="15">
        <f>AR192/$C$14</f>
        <v>8016.6585579474186</v>
      </c>
      <c r="AT191" s="16">
        <f>(AU190*$C$15+AU192*(1-$C$15))*EXP(-$C$9*$C$13)</f>
        <v>29601.60697617707</v>
      </c>
      <c r="AU191" s="15">
        <f>AT192/$C$14</f>
        <v>8016.6585579474186</v>
      </c>
      <c r="AV191" s="16">
        <f>(AW190*$C$15+AW192*(1-$C$15))*EXP(-$C$9*$C$13)</f>
        <v>29617.377072378305</v>
      </c>
      <c r="AW191" s="15">
        <f>AV192/$C$14</f>
        <v>8016.6585579474186</v>
      </c>
      <c r="AX191" s="16">
        <f>(AY190*$C$15+AY192*(1-$C$15))*EXP(-$C$9*$C$13)</f>
        <v>29633.155570013099</v>
      </c>
      <c r="AY191" s="15">
        <f>AX192/$C$14</f>
        <v>8016.6585579474186</v>
      </c>
      <c r="AZ191" s="16">
        <f>(BA190*$C$15+BA192*(1-$C$15))*EXP(-$C$9*$C$13)</f>
        <v>29648.942473557272</v>
      </c>
      <c r="BA191" s="15">
        <f>AZ192/$C$14</f>
        <v>8016.6585579474186</v>
      </c>
      <c r="BB191" s="16">
        <f>MAX(0,$C$8-BB190)</f>
        <v>29664.737787489023</v>
      </c>
      <c r="BD191" s="23">
        <f t="shared" si="38"/>
        <v>1130.1333333334294</v>
      </c>
      <c r="BE191" s="25">
        <v>36367.314154817832</v>
      </c>
      <c r="BF191" s="25">
        <v>36377.299776564265</v>
      </c>
      <c r="BG191" s="25">
        <v>36387.288057495483</v>
      </c>
      <c r="BH191" s="25">
        <v>36397.278998319627</v>
      </c>
      <c r="BI191" s="25">
        <v>36407.272599745032</v>
      </c>
      <c r="BJ191" s="25">
        <v>36417.268862480225</v>
      </c>
      <c r="BK191" s="25">
        <v>36427.267787233905</v>
      </c>
      <c r="BL191" s="25">
        <v>36437.269374714975</v>
      </c>
      <c r="BM191" s="25">
        <v>36447.273625632522</v>
      </c>
      <c r="BN191" s="25">
        <v>36457.280540695829</v>
      </c>
      <c r="BO191" s="25">
        <v>36467.290120614358</v>
      </c>
      <c r="BP191" s="25">
        <v>36477.302366097756</v>
      </c>
      <c r="BQ191" s="25">
        <v>36487.317277855873</v>
      </c>
      <c r="BR191" s="25">
        <v>36497.33485659874</v>
      </c>
      <c r="BS191" s="25">
        <v>36507.355103036592</v>
      </c>
      <c r="BT191" s="25">
        <v>36517.378017879819</v>
      </c>
      <c r="BU191" s="25">
        <v>36527.403601839025</v>
      </c>
      <c r="BV191" s="25">
        <v>36537.431855625015</v>
      </c>
      <c r="BW191" s="25">
        <v>36547.46277994875</v>
      </c>
      <c r="BX191" s="25">
        <v>36557.496375521405</v>
      </c>
      <c r="BY191" s="25">
        <v>36567.532643054343</v>
      </c>
      <c r="BZ191" s="25">
        <v>36577.571583259101</v>
      </c>
      <c r="CA191" s="25">
        <v>36587.613196847415</v>
      </c>
      <c r="CB191" s="25">
        <v>36597.657484531221</v>
      </c>
      <c r="CC191" s="25">
        <v>36607.704447022625</v>
      </c>
      <c r="CD191" s="25">
        <v>36617.754085033936</v>
      </c>
      <c r="CE191" s="25">
        <v>36627.806399277644</v>
      </c>
      <c r="CF191" s="25">
        <v>36637.861390466445</v>
      </c>
      <c r="CG191" s="25">
        <v>36647.919059313193</v>
      </c>
      <c r="CH191" s="25">
        <v>36657.979406530969</v>
      </c>
      <c r="CI191" s="25">
        <v>36668.042432833019</v>
      </c>
      <c r="CJ191" s="25">
        <v>36678.108138932788</v>
      </c>
      <c r="CK191" s="25">
        <v>36688.17652554391</v>
      </c>
      <c r="CL191" s="25">
        <v>36698.247593380212</v>
      </c>
      <c r="CM191" s="25">
        <v>36708.321343155709</v>
      </c>
      <c r="CN191" s="25">
        <v>36718.397775584606</v>
      </c>
      <c r="CO191" s="25">
        <v>36728.476891381288</v>
      </c>
      <c r="CP191" s="25">
        <v>36738.558691260347</v>
      </c>
      <c r="CQ191" s="25">
        <v>36748.643175936551</v>
      </c>
      <c r="CR191" s="25">
        <v>36758.730346124867</v>
      </c>
      <c r="CS191" s="25">
        <v>36768.820202540461</v>
      </c>
      <c r="CT191" s="25">
        <v>36778.91274589867</v>
      </c>
      <c r="CU191" s="25">
        <v>36789.007976915025</v>
      </c>
      <c r="CV191" s="25">
        <v>36799.105896305264</v>
      </c>
      <c r="CW191" s="25">
        <v>36809.206504785296</v>
      </c>
      <c r="CX191" s="25">
        <v>36819.309803071243</v>
      </c>
      <c r="CY191" s="25">
        <v>36829.415791879386</v>
      </c>
      <c r="CZ191" s="25">
        <v>36839.524471926226</v>
      </c>
      <c r="DA191" s="25">
        <v>36849.635843928438</v>
      </c>
      <c r="DB191" s="25">
        <v>36859.749908602898</v>
      </c>
      <c r="DC191" s="44">
        <f t="shared" si="32"/>
        <v>36869.866666666669</v>
      </c>
      <c r="DD191" s="5">
        <f t="shared" si="40"/>
        <v>1</v>
      </c>
      <c r="DE191" s="30" cm="1">
        <f t="array" ref="DE191">1/2*(rf-q)*DD191*dt-1/2*(sigma^2)*(DD191^2)*dt</f>
        <v>-6.2630753424657514E-4</v>
      </c>
      <c r="DF191" s="25">
        <f t="shared" si="36"/>
        <v>1.0017852178082192</v>
      </c>
      <c r="DG191" s="6">
        <f t="shared" si="37"/>
        <v>-8.9260890410958887E-4</v>
      </c>
      <c r="DH191" s="5">
        <f t="shared" si="39"/>
        <v>-502.55251196281461</v>
      </c>
      <c r="DI191" s="6">
        <v>36357.331191548219</v>
      </c>
    </row>
    <row r="192" spans="26:113" x14ac:dyDescent="0.25">
      <c r="AO192" s="16">
        <f>(AP191*$C$15+AP193*(1-$C$15))*EXP(-$C$9*$C$13)</f>
        <v>29879.721044503989</v>
      </c>
      <c r="AP192" s="15">
        <f>AO191*$C$14</f>
        <v>7710.2330792004386</v>
      </c>
      <c r="AQ192" s="16">
        <f>(AR191*$C$15+AR193*(1-$C$15))*EXP(-$C$9*$C$13)</f>
        <v>29895.639304472686</v>
      </c>
      <c r="AR192" s="15">
        <f>AQ193/$C$14</f>
        <v>7710.2330792004386</v>
      </c>
      <c r="AS192" s="16">
        <f>(AT191*$C$15+AT193*(1-$C$15))*EXP(-$C$9*$C$13)</f>
        <v>29911.566044808391</v>
      </c>
      <c r="AT192" s="15">
        <f>AS193/$C$14</f>
        <v>7710.2330792004386</v>
      </c>
      <c r="AU192" s="16">
        <f>(AV191*$C$15+AV193*(1-$C$15))*EXP(-$C$9*$C$13)</f>
        <v>29927.501270028966</v>
      </c>
      <c r="AV192" s="15">
        <f>AU193/$C$14</f>
        <v>7710.2330792004386</v>
      </c>
      <c r="AW192" s="16">
        <f>(AX191*$C$15+AX193*(1-$C$15))*EXP(-$C$9*$C$13)</f>
        <v>29943.444984654692</v>
      </c>
      <c r="AX192" s="15">
        <f>AW193/$C$14</f>
        <v>7710.2330792004386</v>
      </c>
      <c r="AY192" s="16">
        <f>(AZ191*$C$15+AZ193*(1-$C$15))*EXP(-$C$9*$C$13)</f>
        <v>29959.397193208253</v>
      </c>
      <c r="AZ192" s="15">
        <f>AY193/$C$14</f>
        <v>7710.2330792004386</v>
      </c>
      <c r="BA192" s="16">
        <f>(BB191*$C$15+BB193*(1-$C$15))*EXP(-$C$9*$C$13)</f>
        <v>29975.357900214738</v>
      </c>
      <c r="BB192" s="15">
        <f>BA193/$C$14</f>
        <v>7710.2330792004386</v>
      </c>
      <c r="BD192" s="16">
        <f t="shared" si="38"/>
        <v>9.5951691037043929E-11</v>
      </c>
      <c r="BE192" s="26">
        <v>37497.447488150683</v>
      </c>
      <c r="BF192" s="26">
        <v>37507.433109897152</v>
      </c>
      <c r="BG192" s="26">
        <v>37517.4213908284</v>
      </c>
      <c r="BH192" s="26">
        <v>37527.412331652573</v>
      </c>
      <c r="BI192" s="26">
        <v>37537.405933078007</v>
      </c>
      <c r="BJ192" s="26">
        <v>37547.402195813222</v>
      </c>
      <c r="BK192" s="26">
        <v>37557.401120566923</v>
      </c>
      <c r="BL192" s="26">
        <v>37567.402708048015</v>
      </c>
      <c r="BM192" s="26">
        <v>37577.406958965585</v>
      </c>
      <c r="BN192" s="26">
        <v>37587.413874028905</v>
      </c>
      <c r="BO192" s="26">
        <v>37597.423453947449</v>
      </c>
      <c r="BP192" s="26">
        <v>37607.435699430869</v>
      </c>
      <c r="BQ192" s="26">
        <v>37617.450611189008</v>
      </c>
      <c r="BR192" s="26">
        <v>37627.468189931897</v>
      </c>
      <c r="BS192" s="26">
        <v>37637.488436369757</v>
      </c>
      <c r="BT192" s="26">
        <v>37647.511351212997</v>
      </c>
      <c r="BU192" s="26">
        <v>37657.536935172226</v>
      </c>
      <c r="BV192" s="26">
        <v>37667.565188958222</v>
      </c>
      <c r="BW192" s="26">
        <v>37677.596113281972</v>
      </c>
      <c r="BX192" s="26">
        <v>37687.629708854642</v>
      </c>
      <c r="BY192" s="26">
        <v>37697.665976387587</v>
      </c>
      <c r="BZ192" s="26">
        <v>37707.704916592353</v>
      </c>
      <c r="CA192" s="26">
        <v>37717.746530180681</v>
      </c>
      <c r="CB192" s="26">
        <v>37727.790817864494</v>
      </c>
      <c r="CC192" s="26">
        <v>37737.837780355905</v>
      </c>
      <c r="CD192" s="26">
        <v>37747.887418367223</v>
      </c>
      <c r="CE192" s="26">
        <v>37757.939732610939</v>
      </c>
      <c r="CF192" s="26">
        <v>37767.99472379974</v>
      </c>
      <c r="CG192" s="26">
        <v>37778.052392646496</v>
      </c>
      <c r="CH192" s="26">
        <v>37788.112739864278</v>
      </c>
      <c r="CI192" s="26">
        <v>37798.175766166336</v>
      </c>
      <c r="CJ192" s="26">
        <v>37808.241472266112</v>
      </c>
      <c r="CK192" s="26">
        <v>37818.309858877241</v>
      </c>
      <c r="CL192" s="26">
        <v>37828.380926713544</v>
      </c>
      <c r="CM192" s="26">
        <v>37838.45467648904</v>
      </c>
      <c r="CN192" s="26">
        <v>37848.53110891793</v>
      </c>
      <c r="CO192" s="26">
        <v>37858.610224714612</v>
      </c>
      <c r="CP192" s="26">
        <v>37868.692024593671</v>
      </c>
      <c r="CQ192" s="26">
        <v>37878.776509269876</v>
      </c>
      <c r="CR192" s="26">
        <v>37888.863679458198</v>
      </c>
      <c r="CS192" s="26">
        <v>37898.953535873792</v>
      </c>
      <c r="CT192" s="26">
        <v>37909.046079232001</v>
      </c>
      <c r="CU192" s="26">
        <v>37919.141310248357</v>
      </c>
      <c r="CV192" s="26">
        <v>37929.239229638595</v>
      </c>
      <c r="CW192" s="26">
        <v>37939.339838118634</v>
      </c>
      <c r="CX192" s="26">
        <v>37949.443136404574</v>
      </c>
      <c r="CY192" s="26">
        <v>37959.549125212718</v>
      </c>
      <c r="CZ192" s="26">
        <v>37969.657805259558</v>
      </c>
      <c r="DA192" s="26">
        <v>37979.769177261769</v>
      </c>
      <c r="DB192" s="26">
        <v>37989.88324193623</v>
      </c>
      <c r="DC192" s="45">
        <f t="shared" si="32"/>
        <v>38000</v>
      </c>
      <c r="DD192" s="5">
        <f t="shared" si="40"/>
        <v>0</v>
      </c>
      <c r="DE192" s="68" cm="1">
        <f t="array" ref="DE192">1/2*(rf-q)*DD192*dt-1/2*(sigma^2)*(DD192^2)*dt</f>
        <v>0</v>
      </c>
      <c r="DF192" s="26">
        <f t="shared" si="36"/>
        <v>1.0002663013698629</v>
      </c>
      <c r="DG192" s="9">
        <f t="shared" si="37"/>
        <v>0</v>
      </c>
      <c r="DH192" s="8">
        <f t="shared" si="39"/>
        <v>-502.55251196329482</v>
      </c>
      <c r="DI192" s="9">
        <v>37487.464524881041</v>
      </c>
    </row>
    <row r="193" spans="42:113" x14ac:dyDescent="0.25">
      <c r="AP193" s="16">
        <f>(AQ192*$C$15+AQ194*(1-$C$15))*EXP(-$C$9*$C$13)</f>
        <v>30193.126938112451</v>
      </c>
      <c r="AQ193" s="15">
        <f>AP192*$C$14</f>
        <v>7415.5202826572213</v>
      </c>
      <c r="AR193" s="16">
        <f>(AS192*$C$15+AS194*(1-$C$15))*EXP(-$C$9*$C$13)</f>
        <v>30209.212163377873</v>
      </c>
      <c r="AS193" s="15">
        <f>AR194/$C$14</f>
        <v>7415.5202826572213</v>
      </c>
      <c r="AT193" s="16">
        <f>(AU192*$C$15+AU194*(1-$C$15))*EXP(-$C$9*$C$13)</f>
        <v>30225.305957960158</v>
      </c>
      <c r="AU193" s="15">
        <f>AT194/$C$14</f>
        <v>7415.5202826572213</v>
      </c>
      <c r="AV193" s="16">
        <f>(AW192*$C$15+AW194*(1-$C$15))*EXP(-$C$9*$C$13)</f>
        <v>30241.408326424564</v>
      </c>
      <c r="AW193" s="15">
        <f>AV194/$C$14</f>
        <v>7415.5202826572213</v>
      </c>
      <c r="AX193" s="16">
        <f>(AY192*$C$15+AY194*(1-$C$15))*EXP(-$C$9*$C$13)</f>
        <v>30257.519273338781</v>
      </c>
      <c r="AY193" s="15">
        <f>AX194/$C$14</f>
        <v>7415.5202826572213</v>
      </c>
      <c r="AZ193" s="16">
        <f>(BA192*$C$15+BA194*(1-$C$15))*EXP(-$C$9*$C$13)</f>
        <v>30273.638803272926</v>
      </c>
      <c r="BA193" s="15">
        <f>AZ194/$C$14</f>
        <v>7415.5202826572213</v>
      </c>
      <c r="BB193" s="16">
        <f>MAX(0,$C$8-BB192)</f>
        <v>30289.76692079956</v>
      </c>
      <c r="BD193" s="25"/>
      <c r="BE193" s="25"/>
      <c r="BF193" s="25"/>
      <c r="BG193" s="25"/>
      <c r="BH193" s="25"/>
      <c r="BI193" s="25"/>
      <c r="BJ193" s="25"/>
      <c r="BK193" s="25"/>
      <c r="BL193" s="25"/>
      <c r="BM193" s="25"/>
      <c r="BN193" s="25"/>
      <c r="BO193" s="25"/>
      <c r="BP193" s="25"/>
      <c r="BQ193" s="25"/>
      <c r="BR193" s="25"/>
      <c r="BS193" s="25"/>
      <c r="BT193" s="25"/>
      <c r="BU193" s="25"/>
      <c r="BV193" s="25"/>
      <c r="BW193" s="25"/>
      <c r="BX193" s="25"/>
      <c r="BY193" s="25"/>
      <c r="BZ193" s="25"/>
      <c r="CA193" s="25"/>
      <c r="CB193" s="25"/>
      <c r="CC193" s="25"/>
      <c r="CD193" s="25"/>
      <c r="CE193" s="25"/>
      <c r="CF193" s="25"/>
      <c r="CG193" s="25"/>
      <c r="CH193" s="25"/>
      <c r="CI193" s="25"/>
      <c r="CJ193" s="25"/>
      <c r="CK193" s="25"/>
      <c r="CL193" s="25"/>
      <c r="CM193" s="25"/>
      <c r="CN193" s="25"/>
      <c r="CO193" s="25"/>
      <c r="CP193" s="25"/>
      <c r="CQ193" s="25"/>
      <c r="CR193" s="25"/>
      <c r="CS193" s="25"/>
      <c r="CT193" s="25"/>
      <c r="CU193" s="25"/>
      <c r="CV193" s="25"/>
      <c r="CW193" s="25"/>
      <c r="CX193" s="25"/>
      <c r="CY193" s="25"/>
      <c r="CZ193" s="25"/>
      <c r="DA193" s="25"/>
      <c r="DB193" s="25"/>
      <c r="DC193" s="25"/>
      <c r="DD193" s="25"/>
      <c r="DE193" s="25"/>
      <c r="DF193" s="25"/>
      <c r="DG193" s="25"/>
      <c r="DH193" s="25"/>
      <c r="DI193" s="25"/>
    </row>
    <row r="194" spans="42:113" x14ac:dyDescent="0.25">
      <c r="AQ194" s="16">
        <f>(AR193*$C$15+AR195*(1-$C$15))*EXP(-$C$9*$C$13)</f>
        <v>30495.019232988034</v>
      </c>
      <c r="AR194" s="15">
        <f>AQ193*$C$14</f>
        <v>7132.0724675424681</v>
      </c>
      <c r="AS194" s="16">
        <f>(AT193*$C$15+AT195*(1-$C$15))*EXP(-$C$9*$C$13)</f>
        <v>30511.265289742649</v>
      </c>
      <c r="AT194" s="15">
        <f>AS195/$C$14</f>
        <v>7132.0724675424681</v>
      </c>
      <c r="AU194" s="16">
        <f>(AV193*$C$15+AV195*(1-$C$15))*EXP(-$C$9*$C$13)</f>
        <v>30527.520001496236</v>
      </c>
      <c r="AV194" s="15">
        <f>AU195/$C$14</f>
        <v>7132.0724675424681</v>
      </c>
      <c r="AW194" s="16">
        <f>(AX193*$C$15+AX195*(1-$C$15))*EXP(-$C$9*$C$13)</f>
        <v>30543.7833728597</v>
      </c>
      <c r="AX194" s="15">
        <f>AW195/$C$14</f>
        <v>7132.0724675424681</v>
      </c>
      <c r="AY194" s="16">
        <f>(AZ193*$C$15+AZ195*(1-$C$15))*EXP(-$C$9*$C$13)</f>
        <v>30560.055408446395</v>
      </c>
      <c r="AZ194" s="15">
        <f>AY195/$C$14</f>
        <v>7132.0724675424681</v>
      </c>
      <c r="BA194" s="16">
        <f>(BB193*$C$15+BB195*(1-$C$15))*EXP(-$C$9*$C$13)</f>
        <v>30576.336112872144</v>
      </c>
      <c r="BB194" s="15">
        <f>BA195/$C$14</f>
        <v>7132.0724675424681</v>
      </c>
      <c r="BD194" s="25"/>
      <c r="BE194" s="25"/>
      <c r="BF194" s="25"/>
      <c r="BG194" s="25"/>
      <c r="BH194" s="25"/>
      <c r="BI194" s="25"/>
      <c r="BJ194" s="25"/>
      <c r="BK194" s="25"/>
      <c r="BL194" s="25"/>
      <c r="BM194" s="25"/>
      <c r="BN194" s="25"/>
      <c r="BO194" s="25"/>
      <c r="BP194" s="25"/>
      <c r="BQ194" s="25"/>
      <c r="BR194" s="25"/>
      <c r="BS194" s="25"/>
      <c r="BT194" s="25"/>
      <c r="BU194" s="25"/>
      <c r="BV194" s="25"/>
      <c r="BW194" s="25"/>
      <c r="BX194" s="25"/>
      <c r="BY194" s="25"/>
      <c r="BZ194" s="25"/>
      <c r="CA194" s="25"/>
      <c r="CB194" s="25"/>
      <c r="CC194" s="25"/>
      <c r="CD194" s="25"/>
      <c r="CE194" s="25"/>
      <c r="CF194" s="25"/>
      <c r="CG194" s="25"/>
      <c r="CH194" s="25"/>
      <c r="CI194" s="25"/>
      <c r="CJ194" s="25"/>
      <c r="CK194" s="25"/>
      <c r="CL194" s="25"/>
      <c r="CM194" s="25"/>
      <c r="CN194" s="25"/>
      <c r="CO194" s="25"/>
      <c r="CP194" s="25"/>
      <c r="CQ194" s="25"/>
      <c r="CR194" s="25"/>
      <c r="CS194" s="25"/>
      <c r="CT194" s="25"/>
      <c r="CU194" s="25"/>
      <c r="CV194" s="25"/>
      <c r="CW194" s="25"/>
      <c r="CX194" s="25"/>
      <c r="CY194" s="25"/>
      <c r="CZ194" s="25"/>
      <c r="DA194" s="25"/>
      <c r="DB194" s="25"/>
      <c r="DC194" s="25"/>
      <c r="DD194" s="25"/>
      <c r="DE194" s="25"/>
      <c r="DF194" s="25"/>
      <c r="DG194" s="25"/>
      <c r="DH194" s="25"/>
      <c r="DI194" s="25"/>
    </row>
    <row r="195" spans="42:113" x14ac:dyDescent="0.25">
      <c r="AR195" s="16">
        <f>(AS194*$C$15+AS196*(1-$C$15))*EXP(-$C$9*$C$13)</f>
        <v>30785.835173642456</v>
      </c>
      <c r="AS195" s="15">
        <f>AR194*$C$14</f>
        <v>6859.459045812253</v>
      </c>
      <c r="AT195" s="16">
        <f>(AU194*$C$15+AU196*(1-$C$15))*EXP(-$C$9*$C$13)</f>
        <v>30802.236161018394</v>
      </c>
      <c r="AU195" s="15">
        <f>AT196/$C$14</f>
        <v>6859.459045812253</v>
      </c>
      <c r="AV195" s="16">
        <f>(AW194*$C$15+AW196*(1-$C$15))*EXP(-$C$9*$C$13)</f>
        <v>30818.645885931757</v>
      </c>
      <c r="AW195" s="15">
        <f>AV196/$C$14</f>
        <v>6859.459045812253</v>
      </c>
      <c r="AX195" s="16">
        <f>(AY194*$C$15+AY196*(1-$C$15))*EXP(-$C$9*$C$13)</f>
        <v>30835.064353037415</v>
      </c>
      <c r="AY195" s="15">
        <f>AX196/$C$14</f>
        <v>6859.459045812253</v>
      </c>
      <c r="AZ195" s="16">
        <f>(BA194*$C$15+BA196*(1-$C$15))*EXP(-$C$9*$C$13)</f>
        <v>30851.491566992729</v>
      </c>
      <c r="BA195" s="15">
        <f>AZ196/$C$14</f>
        <v>6859.459045812253</v>
      </c>
      <c r="BB195" s="16">
        <f>MAX(0,$C$8-BB194)</f>
        <v>30867.927532457532</v>
      </c>
      <c r="BD195" s="25"/>
      <c r="BE195" s="25"/>
      <c r="BF195" s="25"/>
      <c r="BG195" s="25"/>
      <c r="BH195" s="25"/>
      <c r="BI195" s="25"/>
      <c r="BJ195" s="25"/>
      <c r="BK195" s="25"/>
      <c r="BL195" s="25"/>
      <c r="BM195" s="25"/>
      <c r="BN195" s="25"/>
      <c r="BO195" s="25"/>
      <c r="BP195" s="25"/>
      <c r="BQ195" s="25"/>
      <c r="BR195" s="25"/>
      <c r="BS195" s="25"/>
      <c r="BT195" s="25"/>
      <c r="BU195" s="25"/>
      <c r="BV195" s="25"/>
      <c r="BW195" s="25"/>
      <c r="BX195" s="25"/>
      <c r="BY195" s="25"/>
      <c r="BZ195" s="25"/>
      <c r="CA195" s="25"/>
      <c r="CB195" s="25"/>
      <c r="CC195" s="25"/>
      <c r="CD195" s="25"/>
      <c r="CE195" s="25"/>
      <c r="CF195" s="25"/>
      <c r="CG195" s="25"/>
      <c r="CH195" s="25"/>
      <c r="CI195" s="25"/>
      <c r="CJ195" s="25"/>
      <c r="CK195" s="25"/>
      <c r="CL195" s="25"/>
      <c r="CM195" s="25"/>
      <c r="CN195" s="25"/>
      <c r="CO195" s="25"/>
      <c r="CP195" s="25"/>
      <c r="CQ195" s="25"/>
      <c r="CR195" s="25"/>
      <c r="CS195" s="25"/>
      <c r="CT195" s="25"/>
      <c r="CU195" s="25"/>
      <c r="CV195" s="25"/>
      <c r="CW195" s="25"/>
      <c r="CX195" s="25"/>
      <c r="CY195" s="25"/>
      <c r="CZ195" s="25"/>
      <c r="DA195" s="25"/>
      <c r="DB195" s="25"/>
      <c r="DC195" s="25"/>
      <c r="DD195" s="25"/>
      <c r="DE195" s="25"/>
      <c r="DF195" s="25"/>
      <c r="DG195" s="25"/>
      <c r="DH195" s="25"/>
      <c r="DI195" s="25"/>
    </row>
    <row r="196" spans="42:113" x14ac:dyDescent="0.25">
      <c r="AS196" s="16">
        <f>(AT195*$C$15+AT197*(1-$C$15))*EXP(-$C$9*$C$13)</f>
        <v>31065.995403562392</v>
      </c>
      <c r="AT196" s="15">
        <f>AS195*$C$14</f>
        <v>6597.2658880439749</v>
      </c>
      <c r="AU196" s="16">
        <f>(AV195*$C$15+AV197*(1-$C$15))*EXP(-$C$9*$C$13)</f>
        <v>31082.545644787326</v>
      </c>
      <c r="AV196" s="15">
        <f>AU197/$C$14</f>
        <v>6597.2658880439749</v>
      </c>
      <c r="AW196" s="16">
        <f>(AX195*$C$15+AX197*(1-$C$15))*EXP(-$C$9*$C$13)</f>
        <v>31099.104703063862</v>
      </c>
      <c r="AX196" s="15">
        <f>AW197/$C$14</f>
        <v>6597.2658880439749</v>
      </c>
      <c r="AY196" s="16">
        <f>(AZ195*$C$15+AZ197*(1-$C$15))*EXP(-$C$9*$C$13)</f>
        <v>31115.672583089239</v>
      </c>
      <c r="AZ196" s="15">
        <f>AY197/$C$14</f>
        <v>6597.2658880439749</v>
      </c>
      <c r="BA196" s="16">
        <f>(BB195*$C$15+BB197*(1-$C$15))*EXP(-$C$9*$C$13)</f>
        <v>31132.249289563195</v>
      </c>
      <c r="BB196" s="15">
        <f>BA197/$C$14</f>
        <v>6597.2658880439749</v>
      </c>
      <c r="BD196" s="25"/>
      <c r="BE196" s="25"/>
      <c r="BF196" s="25"/>
      <c r="BG196" s="25"/>
      <c r="BH196" s="25"/>
      <c r="BI196" s="25"/>
      <c r="BJ196" s="25"/>
      <c r="BK196" s="25"/>
      <c r="BL196" s="25"/>
      <c r="BM196" s="25"/>
      <c r="BN196" s="25"/>
      <c r="BO196" s="25"/>
      <c r="BP196" s="25"/>
      <c r="BQ196" s="25"/>
      <c r="BR196" s="25"/>
      <c r="BS196" s="25"/>
      <c r="BT196" s="25"/>
      <c r="BU196" s="25"/>
      <c r="BV196" s="25"/>
      <c r="BW196" s="25"/>
      <c r="BX196" s="25"/>
      <c r="BY196" s="25"/>
      <c r="BZ196" s="25"/>
      <c r="CA196" s="25"/>
      <c r="CB196" s="25"/>
      <c r="CC196" s="25"/>
      <c r="CD196" s="25"/>
      <c r="CE196" s="25"/>
      <c r="CF196" s="25"/>
      <c r="CG196" s="25"/>
      <c r="CH196" s="25"/>
      <c r="CI196" s="25"/>
      <c r="CJ196" s="25"/>
      <c r="CK196" s="25"/>
      <c r="CL196" s="25"/>
      <c r="CM196" s="25"/>
      <c r="CN196" s="25"/>
      <c r="CO196" s="25"/>
      <c r="CP196" s="25"/>
      <c r="CQ196" s="25"/>
      <c r="CR196" s="25"/>
      <c r="CS196" s="25"/>
      <c r="CT196" s="25"/>
      <c r="CU196" s="25"/>
      <c r="CV196" s="25"/>
      <c r="CW196" s="25"/>
      <c r="CX196" s="25"/>
      <c r="CY196" s="25"/>
      <c r="CZ196" s="25"/>
      <c r="DA196" s="25"/>
      <c r="DB196" s="25"/>
      <c r="DC196" s="25"/>
      <c r="DD196" s="25"/>
      <c r="DE196" s="25"/>
      <c r="DF196" s="25"/>
      <c r="DG196" s="25"/>
      <c r="DH196" s="25"/>
      <c r="DI196" s="25"/>
    </row>
    <row r="197" spans="42:113" x14ac:dyDescent="0.25">
      <c r="AT197" s="16">
        <f>(AU196*$C$15+AU198*(1-$C$15))*EXP(-$C$9*$C$13)</f>
        <v>31335.904595507796</v>
      </c>
      <c r="AU197" s="15">
        <f>AT196*$C$14</f>
        <v>6345.0946943287472</v>
      </c>
      <c r="AV197" s="16">
        <f>(AW196*$C$15+AW198*(1-$C$15))*EXP(-$C$9*$C$13)</f>
        <v>31352.598629396623</v>
      </c>
      <c r="AW197" s="15">
        <f>AV198/$C$14</f>
        <v>6345.0946943287472</v>
      </c>
      <c r="AX197" s="16">
        <f>(AY196*$C$15+AY198*(1-$C$15))*EXP(-$C$9*$C$13)</f>
        <v>31369.30155694182</v>
      </c>
      <c r="AY197" s="15">
        <f>AX198/$C$14</f>
        <v>6345.0946943287472</v>
      </c>
      <c r="AZ197" s="16">
        <f>(BA196*$C$15+BA198*(1-$C$15))*EXP(-$C$9*$C$13)</f>
        <v>31386.013382881425</v>
      </c>
      <c r="BA197" s="15">
        <f>AZ198/$C$14</f>
        <v>6345.0946943287472</v>
      </c>
      <c r="BB197" s="16">
        <f>MAX(0,$C$8-BB196)</f>
        <v>31402.734111956026</v>
      </c>
      <c r="BD197" s="25"/>
      <c r="BE197" s="25"/>
      <c r="BF197" s="25"/>
      <c r="BG197" s="25"/>
      <c r="BH197" s="25"/>
      <c r="BI197" s="25"/>
      <c r="BJ197" s="25"/>
      <c r="BK197" s="25"/>
      <c r="BL197" s="25"/>
      <c r="BM197" s="25"/>
      <c r="BN197" s="25"/>
      <c r="BO197" s="25"/>
      <c r="BP197" s="25"/>
      <c r="BQ197" s="25"/>
      <c r="BR197" s="25"/>
      <c r="BS197" s="25"/>
      <c r="BT197" s="25"/>
      <c r="BU197" s="25"/>
      <c r="BV197" s="25"/>
      <c r="BW197" s="25"/>
      <c r="BX197" s="25"/>
      <c r="BY197" s="25"/>
      <c r="BZ197" s="25"/>
      <c r="CA197" s="25"/>
      <c r="CB197" s="25"/>
      <c r="CC197" s="25"/>
      <c r="CD197" s="25"/>
      <c r="CE197" s="25"/>
      <c r="CF197" s="25"/>
      <c r="CG197" s="25"/>
      <c r="CH197" s="25"/>
      <c r="CI197" s="25"/>
      <c r="CJ197" s="25"/>
      <c r="CK197" s="25"/>
      <c r="CL197" s="25"/>
      <c r="CM197" s="25"/>
      <c r="CN197" s="25"/>
      <c r="CO197" s="25"/>
      <c r="CP197" s="25"/>
      <c r="CQ197" s="25"/>
      <c r="CR197" s="25"/>
      <c r="CS197" s="25"/>
      <c r="CT197" s="25"/>
      <c r="CU197" s="25"/>
      <c r="CV197" s="25"/>
      <c r="CW197" s="25"/>
      <c r="CX197" s="25"/>
      <c r="CY197" s="25"/>
      <c r="CZ197" s="25"/>
      <c r="DA197" s="25"/>
      <c r="DB197" s="25"/>
      <c r="DC197" s="25"/>
      <c r="DD197" s="25"/>
      <c r="DE197" s="25"/>
      <c r="DF197" s="25"/>
      <c r="DG197" s="25"/>
      <c r="DH197" s="25"/>
      <c r="DI197" s="25"/>
    </row>
    <row r="198" spans="42:113" x14ac:dyDescent="0.25">
      <c r="AU198" s="16">
        <f>(AV197*$C$15+AV199*(1-$C$15))*EXP(-$C$9*$C$13)</f>
        <v>31595.952057879433</v>
      </c>
      <c r="AV198" s="15">
        <f>AU197*$C$14</f>
        <v>6102.5623892105377</v>
      </c>
      <c r="AW198" s="16">
        <f>(AX197*$C$15+AX199*(1-$C$15))*EXP(-$C$9*$C$13)</f>
        <v>31612.784630648999</v>
      </c>
      <c r="AX198" s="15">
        <f>AW199/$C$14</f>
        <v>6102.5623892105377</v>
      </c>
      <c r="AY198" s="16">
        <f>(AZ197*$C$15+AZ199*(1-$C$15))*EXP(-$C$9*$C$13)</f>
        <v>31629.626170880769</v>
      </c>
      <c r="AZ198" s="15">
        <f>AY199/$C$14</f>
        <v>6102.5623892105377</v>
      </c>
      <c r="BA198" s="16">
        <f>(BB197*$C$15+BB199*(1-$C$15))*EXP(-$C$9*$C$13)</f>
        <v>31646.476683352117</v>
      </c>
      <c r="BB198" s="15">
        <f>BA199/$C$14</f>
        <v>6102.5623892105368</v>
      </c>
      <c r="BD198" s="25"/>
      <c r="BE198" s="25"/>
      <c r="BF198" s="25"/>
      <c r="BG198" s="25"/>
      <c r="BH198" s="25"/>
      <c r="BI198" s="25"/>
      <c r="BJ198" s="25"/>
      <c r="BK198" s="25"/>
      <c r="BL198" s="25"/>
      <c r="BM198" s="25"/>
      <c r="BN198" s="25"/>
      <c r="BO198" s="25"/>
      <c r="BP198" s="25"/>
      <c r="BQ198" s="25"/>
      <c r="BR198" s="25"/>
      <c r="BS198" s="25"/>
      <c r="BT198" s="25"/>
      <c r="BU198" s="25"/>
      <c r="BV198" s="25"/>
      <c r="BW198" s="25"/>
      <c r="BX198" s="25"/>
      <c r="BY198" s="25"/>
      <c r="BZ198" s="25"/>
      <c r="CA198" s="25"/>
      <c r="CB198" s="25"/>
      <c r="CC198" s="25"/>
      <c r="CD198" s="25"/>
      <c r="CE198" s="25"/>
      <c r="CF198" s="25"/>
      <c r="CG198" s="25"/>
      <c r="CH198" s="25"/>
      <c r="CI198" s="25"/>
      <c r="CJ198" s="25"/>
      <c r="CK198" s="25"/>
      <c r="CL198" s="25"/>
      <c r="CM198" s="25"/>
      <c r="CN198" s="25"/>
      <c r="CO198" s="25"/>
      <c r="CP198" s="25"/>
      <c r="CQ198" s="25"/>
      <c r="CR198" s="25"/>
      <c r="CS198" s="25"/>
      <c r="CT198" s="25"/>
      <c r="CU198" s="25"/>
      <c r="CV198" s="25"/>
      <c r="CW198" s="25"/>
      <c r="CX198" s="25"/>
      <c r="CY198" s="25"/>
      <c r="CZ198" s="25"/>
      <c r="DA198" s="25"/>
      <c r="DB198" s="25"/>
      <c r="DC198" s="25"/>
      <c r="DD198" s="25"/>
      <c r="DE198" s="25"/>
      <c r="DF198" s="25"/>
      <c r="DG198" s="25"/>
      <c r="DH198" s="25"/>
      <c r="DI198" s="25"/>
    </row>
    <row r="199" spans="42:113" x14ac:dyDescent="0.25">
      <c r="AV199" s="16">
        <f>(AW198*$C$15+AW200*(1-$C$15))*EXP(-$C$9*$C$13)</f>
        <v>31846.512318064186</v>
      </c>
      <c r="AW199" s="15">
        <f>AV198*$C$14</f>
        <v>5869.3005397529078</v>
      </c>
      <c r="AX199" s="16">
        <f>(AY198*$C$15+AY200*(1-$C$15))*EXP(-$C$9*$C$13)</f>
        <v>31863.478375458773</v>
      </c>
      <c r="AY199" s="15">
        <f>AX200/$C$14</f>
        <v>5869.3005397529078</v>
      </c>
      <c r="AZ199" s="16">
        <f>(BA198*$C$15+BA200*(1-$C$15))*EXP(-$C$9*$C$13)</f>
        <v>31880.453471428787</v>
      </c>
      <c r="BA199" s="15">
        <f>AZ200/$C$14</f>
        <v>5869.3005397529068</v>
      </c>
      <c r="BB199" s="16">
        <f>MAX(0,$C$8-BB198)</f>
        <v>31897.437610789464</v>
      </c>
      <c r="BD199" s="25"/>
      <c r="DC199" s="25"/>
      <c r="DD199" s="25"/>
      <c r="DE199" s="25"/>
      <c r="DF199" s="25"/>
      <c r="DG199" s="25"/>
    </row>
    <row r="200" spans="42:113" x14ac:dyDescent="0.25">
      <c r="AW200" s="16">
        <f>(AX199*$C$15+AX201*(1-$C$15))*EXP(-$C$9*$C$13)</f>
        <v>32087.945683632242</v>
      </c>
      <c r="AX200" s="15">
        <f>AW199*$C$14</f>
        <v>5644.9547958493304</v>
      </c>
      <c r="AY200" s="16">
        <f>(AZ199*$C$15+AZ201*(1-$C$15))*EXP(-$C$9*$C$13)</f>
        <v>32105.040363348056</v>
      </c>
      <c r="AZ200" s="15">
        <f>AY201/$C$14</f>
        <v>5644.9547958493295</v>
      </c>
      <c r="BA200" s="16">
        <f>(BB199*$C$15+BB201*(1-$C$15))*EXP(-$C$9*$C$13)</f>
        <v>32122.144150162134</v>
      </c>
      <c r="BB200" s="15">
        <f>BA201/$C$14</f>
        <v>5644.9547958493295</v>
      </c>
      <c r="BD200" s="25"/>
      <c r="DC200" s="25"/>
      <c r="DD200" s="25"/>
      <c r="DE200" s="25"/>
      <c r="DF200" s="25"/>
      <c r="DG200" s="25"/>
    </row>
    <row r="201" spans="42:113" x14ac:dyDescent="0.25">
      <c r="AX201" s="16">
        <f>(AY200*$C$15+AY202*(1-$C$15))*EXP(-$C$9*$C$13)</f>
        <v>32320.598782227073</v>
      </c>
      <c r="AY201" s="15">
        <f>AX200*$C$14</f>
        <v>5429.1843519268587</v>
      </c>
      <c r="AZ201" s="16">
        <f>(BA200*$C$15+BA202*(1-$C$15))*EXP(-$C$9*$C$13)</f>
        <v>32337.817406624308</v>
      </c>
      <c r="BA201" s="15">
        <f>AZ202/$C$14</f>
        <v>5429.1843519268587</v>
      </c>
      <c r="BB201" s="16">
        <f>MAX(0,$C$8-BB200)</f>
        <v>32355.045204150672</v>
      </c>
      <c r="BD201" s="25"/>
      <c r="DC201" s="25"/>
      <c r="DD201" s="25"/>
      <c r="DE201" s="25"/>
      <c r="DF201" s="25"/>
      <c r="DG201" s="25"/>
    </row>
    <row r="202" spans="42:113" x14ac:dyDescent="0.25">
      <c r="AY202" s="16">
        <f>(AZ201*$C$15+AZ203*(1-$C$15))*EXP(-$C$9*$C$13)</f>
        <v>32544.80508095714</v>
      </c>
      <c r="AZ202" s="15">
        <f>AY201*$C$14</f>
        <v>5221.6614292254135</v>
      </c>
      <c r="BA202" s="16">
        <f>(BB201*$C$15+BB203*(1-$C$15))*EXP(-$C$9*$C$13)</f>
        <v>32562.143150048807</v>
      </c>
      <c r="BB202" s="15">
        <f>BA203/$C$14</f>
        <v>5221.6614292254135</v>
      </c>
      <c r="BD202" s="25"/>
      <c r="DC202" s="25"/>
      <c r="DD202" s="25"/>
      <c r="DE202" s="25"/>
      <c r="DF202" s="25"/>
      <c r="DG202" s="25"/>
    </row>
    <row r="203" spans="42:113" x14ac:dyDescent="0.25">
      <c r="AZ203" s="16">
        <f>(BA202*$C$15+BA204*(1-$C$15))*EXP(-$C$9*$C$13)</f>
        <v>32760.88538606769</v>
      </c>
      <c r="BA203" s="15">
        <f>AZ202*$C$14</f>
        <v>5022.0707778662127</v>
      </c>
      <c r="BB203" s="16">
        <f>MAX(0,$C$8-BB202)</f>
        <v>32778.338570774584</v>
      </c>
      <c r="BD203" s="25"/>
      <c r="DC203" s="25"/>
      <c r="DD203" s="25"/>
      <c r="DE203" s="25"/>
      <c r="DF203" s="25"/>
      <c r="DG203" s="25"/>
    </row>
    <row r="204" spans="42:113" x14ac:dyDescent="0.25">
      <c r="BA204" s="16">
        <f>(BB203*$C$15+BB205*(1-$C$15))*EXP(-$C$9*$C$13)</f>
        <v>32969.148323641224</v>
      </c>
      <c r="BB204" s="15">
        <f>BA203*$C$14</f>
        <v>4830.1091979529365</v>
      </c>
      <c r="DC204" s="25"/>
      <c r="DD204" s="25"/>
      <c r="DE204" s="25"/>
      <c r="DF204" s="25"/>
      <c r="DG204" s="25"/>
    </row>
    <row r="205" spans="42:113" x14ac:dyDescent="0.25">
      <c r="BB205" s="16">
        <f>MAX(0,$C$8-BB204)</f>
        <v>33169.890802047063</v>
      </c>
    </row>
  </sheetData>
  <mergeCells count="7">
    <mergeCell ref="D147:F147"/>
    <mergeCell ref="G147:H147"/>
    <mergeCell ref="B2:C2"/>
    <mergeCell ref="D44:H44"/>
    <mergeCell ref="G45:H45"/>
    <mergeCell ref="D45:F45"/>
    <mergeCell ref="D146:H146"/>
  </mergeCells>
  <pageMargins left="0.7" right="0.7" top="0.75" bottom="0.75" header="0.3" footer="0.3"/>
  <ignoredErrors>
    <ignoredError sqref="A4:A5 A8 A6 H6:BB6 A3 J3:BB3 A18 A9 H9:BB9 A10 H10:BB10 A28 A26 D26:G26 A25 D25:G25 A27 D27:G27 A30:BB40 A29 D29:BB29 H5:BB5 A7 H7:BB7 A11 H11:BB11 G8:BB8 A24:G24 A19:A23 D21:G23 A12:A16 G12:BB16 D28:BB28 G18 D19 G19:G20 J4:BB4 D4:D5 D8 D3 A17 D17 D9 D10 D7 D11 D12:D16 D18 A147:BB283 A146:C146 E146:BB146 A50:BB145 A48:C48 E48:BB48 A49:C49 E49:BB49 A42:BB47 A41:I41 K41:BB41 J26:BB26 J25:BB25 J27:BB27 J24:BB24 J21:BB23 J17:BB18 J19:BB20" formula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29A6B-2644-47AB-A7BC-61BAC8103842}">
  <sheetPr codeName="Sheet2"/>
  <dimension ref="A1"/>
  <sheetViews>
    <sheetView workbookViewId="0">
      <selection activeCell="B52" sqref="B52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1</vt:lpstr>
      <vt:lpstr>Sheet1</vt:lpstr>
      <vt:lpstr>d</vt:lpstr>
      <vt:lpstr>ds</vt:lpstr>
      <vt:lpstr>dt</vt:lpstr>
      <vt:lpstr>K</vt:lpstr>
      <vt:lpstr>p</vt:lpstr>
      <vt:lpstr>q</vt:lpstr>
      <vt:lpstr>rf</vt:lpstr>
      <vt:lpstr>S</vt:lpstr>
      <vt:lpstr>sigma</vt:lpstr>
      <vt:lpstr>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mikhail</dc:creator>
  <cp:lastModifiedBy>Mikhail Burkasov</cp:lastModifiedBy>
  <dcterms:created xsi:type="dcterms:W3CDTF">2015-06-05T18:17:20Z</dcterms:created>
  <dcterms:modified xsi:type="dcterms:W3CDTF">2020-04-23T06:09:15Z</dcterms:modified>
</cp:coreProperties>
</file>